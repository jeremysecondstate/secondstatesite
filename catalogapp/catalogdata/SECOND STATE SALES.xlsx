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</sheets>
  <definedNames/>
  <calcPr/>
</workbook>
</file>

<file path=xl/sharedStrings.xml><?xml version="1.0" encoding="utf-8"?>
<sst xmlns="http://schemas.openxmlformats.org/spreadsheetml/2006/main" count="85" uniqueCount="58">
  <si>
    <t>SOLD LOTS</t>
  </si>
  <si>
    <t>PAID</t>
  </si>
  <si>
    <t>Date</t>
  </si>
  <si>
    <t>Artist</t>
  </si>
  <si>
    <t>Name</t>
  </si>
  <si>
    <t>Sale Location</t>
  </si>
  <si>
    <t>Sellers Commision</t>
  </si>
  <si>
    <t>Sold Currency</t>
  </si>
  <si>
    <t>ExRate on Sale Date</t>
  </si>
  <si>
    <t>Sold Hammer Price</t>
  </si>
  <si>
    <t>Sold Hammer Price $</t>
  </si>
  <si>
    <t>Comission $</t>
  </si>
  <si>
    <t>Net Sale Price $</t>
  </si>
  <si>
    <t>Purchase Price</t>
  </si>
  <si>
    <t>ExRate on Purchase Date</t>
  </si>
  <si>
    <t>Purchase Price $</t>
  </si>
  <si>
    <t>Restoration Cost $</t>
  </si>
  <si>
    <t>Restoration Paid By</t>
  </si>
  <si>
    <t>Restoration Paid - Oliver</t>
  </si>
  <si>
    <t>Restoration Paid - Alex</t>
  </si>
  <si>
    <t>Restoration Paid - Jeremy</t>
  </si>
  <si>
    <t>Outbound Shipping Cost $</t>
  </si>
  <si>
    <t>Outbound Shipping Paid By</t>
  </si>
  <si>
    <t>Shipping Paid - Oliver</t>
  </si>
  <si>
    <t>Shipping Paid - Alex</t>
  </si>
  <si>
    <t>Shipping Paid - Jeremy</t>
  </si>
  <si>
    <t>Profit</t>
  </si>
  <si>
    <t>Purchase Date</t>
  </si>
  <si>
    <t>Purchased Location</t>
  </si>
  <si>
    <t>Purchase Currency</t>
  </si>
  <si>
    <t>ROI % (Annual)</t>
  </si>
  <si>
    <t>Days to Sale</t>
  </si>
  <si>
    <t>Been Paid?</t>
  </si>
  <si>
    <t>YES</t>
  </si>
  <si>
    <t>D. Hockney</t>
  </si>
  <si>
    <t>Celia Inquiring</t>
  </si>
  <si>
    <t>Phillips London</t>
  </si>
  <si>
    <t>£ Pounds</t>
  </si>
  <si>
    <t>-</t>
  </si>
  <si>
    <t>Oliver</t>
  </si>
  <si>
    <t>N/A</t>
  </si>
  <si>
    <t>Heritage Auctions</t>
  </si>
  <si>
    <t>$ Dollars</t>
  </si>
  <si>
    <t>NO</t>
  </si>
  <si>
    <t>Celia Reclining</t>
  </si>
  <si>
    <t>Celia Looks</t>
  </si>
  <si>
    <t>FORUM</t>
  </si>
  <si>
    <t>Larsen</t>
  </si>
  <si>
    <t>J. Miro</t>
  </si>
  <si>
    <t>Grans Rupestres VII</t>
  </si>
  <si>
    <t>Bonhams NY</t>
  </si>
  <si>
    <t>Total Profits</t>
  </si>
  <si>
    <t>Total ROI</t>
  </si>
  <si>
    <t>TOTAL TIME</t>
  </si>
  <si>
    <t>days</t>
  </si>
  <si>
    <t>Total PAYOUT</t>
  </si>
  <si>
    <t>AVG TIME</t>
  </si>
  <si>
    <t>STILL to be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</si>
</sst>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0"/>
    <numFmt numFmtId="165" formatCode="[$€-C07]\ #,##0.00;[Red]\-[$€-C07]\ #,##0.00"/>
    <numFmt numFmtId="166" formatCode="&quot;$&quot;#,##0.00_);[Red]\(&quot;$&quot;#,##0.00\)"/>
    <numFmt numFmtId="167" formatCode="&quot;$&quot;#,##0.00"/>
    <numFmt numFmtId="168" formatCode="[$£-809]#,##0.00;[Red]\-[$£-809]#,##0.00"/>
    <numFmt numFmtId="169" formatCode="&quot;$&quot;#,##0.00;[Red]&quot;$&quot;#,##0.00"/>
    <numFmt numFmtId="170" formatCode="&quot;$&quot;#,##0.0000"/>
    <numFmt numFmtId="171" formatCode="0.0%"/>
    <numFmt numFmtId="172" formatCode="&quot;$&quot;#,##0.0000_);[Red]\(&quot;$&quot;#,##0.0000\)"/>
  </numFmts>
  <fonts count="2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color theme="1"/>
      <name val="Arial"/>
      <scheme val="minor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color theme="1"/>
      <name val="Arial"/>
      <scheme val="minor"/>
    </font>
    <font>
      <b/>
      <u/>
      <sz val="12.0"/>
      <color theme="1"/>
      <name val="Calibri"/>
    </font>
    <font>
      <i/>
      <sz val="12.0"/>
      <color theme="1"/>
      <name val="Calibri"/>
    </font>
    <font>
      <sz val="12.0"/>
      <color theme="9"/>
      <name val="Calibri"/>
    </font>
    <font>
      <b/>
      <sz val="12.0"/>
      <color theme="1"/>
      <name val="Calibri"/>
    </font>
    <font>
      <b/>
      <u/>
      <sz val="12.0"/>
      <color theme="1"/>
      <name val="Calibri"/>
    </font>
    <font>
      <color theme="1"/>
      <name val="Calibri"/>
    </font>
    <font>
      <b/>
      <i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i/>
      <u/>
      <sz val="12.0"/>
      <color theme="10"/>
      <name val="Calibri"/>
    </font>
    <font>
      <b/>
      <u/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D9E1F2"/>
        <bgColor rgb="FFD9E1F2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98FFA7"/>
        <bgColor rgb="FF98FFA7"/>
      </patternFill>
    </fill>
    <fill>
      <patternFill patternType="solid">
        <fgColor rgb="FFFF9C9F"/>
        <bgColor rgb="FFFF9C9F"/>
      </patternFill>
    </fill>
    <fill>
      <patternFill patternType="solid">
        <fgColor rgb="FFBB7B70"/>
        <bgColor rgb="FFBB7B70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</fills>
  <borders count="11">
    <border/>
    <border>
      <left style="thin">
        <color rgb="FF000000"/>
      </left>
      <right/>
      <top style="thin">
        <color rgb="FF000000"/>
      </top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 vertical="center"/>
    </xf>
    <xf borderId="4" fillId="3" fontId="1" numFmtId="0" xfId="0" applyBorder="1" applyFill="1" applyFont="1"/>
    <xf borderId="0" fillId="0" fontId="1" numFmtId="0" xfId="0" applyAlignment="1" applyFont="1">
      <alignment horizontal="center" shrinkToFit="0" wrapText="1"/>
    </xf>
    <xf borderId="5" fillId="4" fontId="4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7" fillId="9" fontId="10" numFmtId="0" xfId="0" applyAlignment="1" applyBorder="1" applyFont="1">
      <alignment horizontal="center" vertical="center"/>
    </xf>
    <xf borderId="7" fillId="10" fontId="11" numFmtId="0" xfId="0" applyAlignment="1" applyBorder="1" applyFill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7" fillId="6" fontId="1" numFmtId="14" xfId="0" applyAlignment="1" applyBorder="1" applyFont="1" applyNumberFormat="1">
      <alignment horizontal="right" shrinkToFit="0" vertical="center" wrapText="1"/>
    </xf>
    <xf borderId="7" fillId="11" fontId="1" numFmtId="0" xfId="0" applyAlignment="1" applyBorder="1" applyFill="1" applyFont="1">
      <alignment horizontal="left" shrinkToFit="0" vertical="center" wrapText="1"/>
    </xf>
    <xf borderId="7" fillId="11" fontId="12" numFmtId="0" xfId="0" applyAlignment="1" applyBorder="1" applyFont="1">
      <alignment horizontal="left" shrinkToFit="0" vertical="center" wrapText="1"/>
    </xf>
    <xf borderId="7" fillId="6" fontId="1" numFmtId="0" xfId="0" applyAlignment="1" applyBorder="1" applyFont="1">
      <alignment horizontal="left" shrinkToFit="0" vertical="center" wrapText="1"/>
    </xf>
    <xf borderId="7" fillId="7" fontId="1" numFmtId="9" xfId="0" applyBorder="1" applyFont="1" applyNumberFormat="1"/>
    <xf borderId="7" fillId="7" fontId="1" numFmtId="0" xfId="0" applyBorder="1" applyFont="1"/>
    <xf borderId="7" fillId="7" fontId="1" numFmtId="164" xfId="0" applyAlignment="1" applyBorder="1" applyFont="1" applyNumberFormat="1">
      <alignment horizontal="center"/>
    </xf>
    <xf borderId="7" fillId="7" fontId="1" numFmtId="165" xfId="0" applyBorder="1" applyFont="1" applyNumberFormat="1"/>
    <xf borderId="7" fillId="7" fontId="1" numFmtId="166" xfId="0" applyBorder="1" applyFont="1" applyNumberFormat="1"/>
    <xf borderId="7" fillId="7" fontId="1" numFmtId="166" xfId="0" applyAlignment="1" applyBorder="1" applyFont="1" applyNumberFormat="1">
      <alignment horizontal="center" shrinkToFit="0" vertical="center" wrapText="1"/>
    </xf>
    <xf borderId="7" fillId="8" fontId="1" numFmtId="166" xfId="0" applyAlignment="1" applyBorder="1" applyFont="1" applyNumberFormat="1">
      <alignment horizontal="right"/>
    </xf>
    <xf borderId="7" fillId="8" fontId="1" numFmtId="0" xfId="0" applyAlignment="1" applyBorder="1" applyFont="1">
      <alignment horizontal="center" shrinkToFit="0" vertical="center" wrapText="1"/>
    </xf>
    <xf borderId="7" fillId="9" fontId="1" numFmtId="167" xfId="0" applyBorder="1" applyFont="1" applyNumberFormat="1"/>
    <xf borderId="7" fillId="10" fontId="13" numFmtId="167" xfId="0" applyBorder="1" applyFont="1" applyNumberFormat="1"/>
    <xf borderId="7" fillId="6" fontId="1" numFmtId="14" xfId="0" applyBorder="1" applyFont="1" applyNumberFormat="1"/>
    <xf borderId="7" fillId="6" fontId="1" numFmtId="0" xfId="0" applyBorder="1" applyFont="1"/>
    <xf borderId="7" fillId="10" fontId="1" numFmtId="10" xfId="0" applyBorder="1" applyFont="1" applyNumberFormat="1"/>
    <xf borderId="7" fillId="6" fontId="1" numFmtId="0" xfId="0" applyAlignment="1" applyBorder="1" applyFont="1">
      <alignment horizontal="center" shrinkToFit="0" vertical="center" wrapText="1"/>
    </xf>
    <xf borderId="7" fillId="6" fontId="1" numFmtId="14" xfId="0" applyAlignment="1" applyBorder="1" applyFont="1" applyNumberFormat="1">
      <alignment horizontal="center" shrinkToFit="0" vertical="center" wrapText="1"/>
    </xf>
    <xf borderId="7" fillId="6" fontId="12" numFmtId="0" xfId="0" applyAlignment="1" applyBorder="1" applyFont="1">
      <alignment horizontal="center" shrinkToFit="0" vertical="center" wrapText="1"/>
    </xf>
    <xf borderId="7" fillId="7" fontId="1" numFmtId="9" xfId="0" applyAlignment="1" applyBorder="1" applyFont="1" applyNumberFormat="1">
      <alignment horizontal="center" shrinkToFit="0" vertical="center" wrapText="1"/>
    </xf>
    <xf borderId="7" fillId="7" fontId="1" numFmtId="0" xfId="0" applyAlignment="1" applyBorder="1" applyFont="1">
      <alignment horizontal="center" shrinkToFit="0" vertical="center" wrapText="1"/>
    </xf>
    <xf borderId="7" fillId="7" fontId="1" numFmtId="164" xfId="0" applyAlignment="1" applyBorder="1" applyFont="1" applyNumberFormat="1">
      <alignment horizontal="center" shrinkToFit="0" vertical="center" wrapText="1"/>
    </xf>
    <xf borderId="7" fillId="7" fontId="1" numFmtId="168" xfId="0" applyAlignment="1" applyBorder="1" applyFont="1" applyNumberFormat="1">
      <alignment horizontal="center" shrinkToFit="0" vertical="center" wrapText="1"/>
    </xf>
    <xf borderId="7" fillId="8" fontId="1" numFmtId="166" xfId="0" applyAlignment="1" applyBorder="1" applyFont="1" applyNumberFormat="1">
      <alignment horizontal="center" shrinkToFit="0" vertical="center" wrapText="1"/>
    </xf>
    <xf borderId="7" fillId="9" fontId="1" numFmtId="167" xfId="0" applyAlignment="1" applyBorder="1" applyFont="1" applyNumberFormat="1">
      <alignment horizontal="center" shrinkToFit="0" vertical="center" wrapText="1"/>
    </xf>
    <xf borderId="7" fillId="9" fontId="10" numFmtId="0" xfId="0" applyAlignment="1" applyBorder="1" applyFont="1">
      <alignment horizontal="center" readingOrder="0" vertical="center"/>
    </xf>
    <xf borderId="7" fillId="9" fontId="1" numFmtId="167" xfId="0" applyAlignment="1" applyBorder="1" applyFont="1" applyNumberFormat="1">
      <alignment horizontal="center" readingOrder="0" shrinkToFit="0" vertical="center" wrapText="1"/>
    </xf>
    <xf borderId="7" fillId="10" fontId="13" numFmtId="167" xfId="0" applyAlignment="1" applyBorder="1" applyFont="1" applyNumberFormat="1">
      <alignment horizontal="center" shrinkToFit="0" vertical="center" wrapText="1"/>
    </xf>
    <xf borderId="7" fillId="10" fontId="1" numFmtId="10" xfId="0" applyAlignment="1" applyBorder="1" applyFont="1" applyNumberFormat="1">
      <alignment horizontal="center" shrinkToFit="0" vertical="center" wrapText="1"/>
    </xf>
    <xf borderId="7" fillId="6" fontId="12" numFmtId="0" xfId="0" applyAlignment="1" applyBorder="1" applyFont="1">
      <alignment horizontal="left" shrinkToFit="0" vertical="center" wrapText="1"/>
    </xf>
    <xf borderId="7" fillId="3" fontId="14" numFmtId="0" xfId="0" applyAlignment="1" applyBorder="1" applyFont="1">
      <alignment horizontal="center"/>
    </xf>
    <xf borderId="7" fillId="3" fontId="1" numFmtId="14" xfId="0" applyBorder="1" applyFont="1" applyNumberFormat="1"/>
    <xf borderId="7" fillId="3" fontId="1" numFmtId="0" xfId="0" applyBorder="1" applyFont="1"/>
    <xf borderId="7" fillId="3" fontId="12" numFmtId="0" xfId="0" applyAlignment="1" applyBorder="1" applyFont="1">
      <alignment shrinkToFit="0" wrapText="1"/>
    </xf>
    <xf borderId="7" fillId="3" fontId="1" numFmtId="9" xfId="0" applyBorder="1" applyFont="1" applyNumberFormat="1"/>
    <xf borderId="7" fillId="3" fontId="1" numFmtId="164" xfId="0" applyAlignment="1" applyBorder="1" applyFont="1" applyNumberFormat="1">
      <alignment horizontal="center"/>
    </xf>
    <xf borderId="7" fillId="3" fontId="1" numFmtId="167" xfId="0" applyAlignment="1" applyBorder="1" applyFont="1" applyNumberFormat="1">
      <alignment horizontal="right"/>
    </xf>
    <xf borderId="7" fillId="3" fontId="1" numFmtId="167" xfId="0" applyBorder="1" applyFont="1" applyNumberFormat="1"/>
    <xf borderId="7" fillId="3" fontId="1" numFmtId="169" xfId="0" applyAlignment="1" applyBorder="1" applyFont="1" applyNumberFormat="1">
      <alignment horizontal="right"/>
    </xf>
    <xf borderId="7" fillId="3" fontId="1" numFmtId="166" xfId="0" applyBorder="1" applyFont="1" applyNumberFormat="1"/>
    <xf borderId="7" fillId="3" fontId="1" numFmtId="167" xfId="0" applyAlignment="1" applyBorder="1" applyFont="1" applyNumberFormat="1">
      <alignment horizontal="center" vertical="center"/>
    </xf>
    <xf borderId="7" fillId="3" fontId="13" numFmtId="167" xfId="0" applyBorder="1" applyFont="1" applyNumberFormat="1"/>
    <xf borderId="7" fillId="3" fontId="1" numFmtId="10" xfId="0" applyBorder="1" applyFont="1" applyNumberFormat="1"/>
    <xf borderId="7" fillId="3" fontId="1" numFmtId="0" xfId="0" applyAlignment="1" applyBorder="1" applyFont="1">
      <alignment horizontal="center"/>
    </xf>
    <xf borderId="4" fillId="3" fontId="14" numFmtId="0" xfId="0" applyAlignment="1" applyBorder="1" applyFont="1">
      <alignment horizontal="center"/>
    </xf>
    <xf borderId="4" fillId="3" fontId="1" numFmtId="14" xfId="0" applyBorder="1" applyFont="1" applyNumberFormat="1"/>
    <xf borderId="4" fillId="3" fontId="12" numFmtId="0" xfId="0" applyAlignment="1" applyBorder="1" applyFont="1">
      <alignment shrinkToFit="0" wrapText="1"/>
    </xf>
    <xf borderId="4" fillId="3" fontId="1" numFmtId="9" xfId="0" applyBorder="1" applyFont="1" applyNumberFormat="1"/>
    <xf borderId="4" fillId="3" fontId="1" numFmtId="170" xfId="0" applyAlignment="1" applyBorder="1" applyFont="1" applyNumberFormat="1">
      <alignment horizontal="center"/>
    </xf>
    <xf borderId="4" fillId="3" fontId="1" numFmtId="167" xfId="0" applyBorder="1" applyFont="1" applyNumberFormat="1"/>
    <xf borderId="4" fillId="3" fontId="1" numFmtId="166" xfId="0" applyBorder="1" applyFont="1" applyNumberFormat="1"/>
    <xf borderId="4" fillId="3" fontId="1" numFmtId="0" xfId="0" applyAlignment="1" applyBorder="1" applyFont="1">
      <alignment horizontal="center"/>
    </xf>
    <xf borderId="4" fillId="3" fontId="1" numFmtId="167" xfId="0" applyAlignment="1" applyBorder="1" applyFont="1" applyNumberFormat="1">
      <alignment horizontal="center" vertical="center"/>
    </xf>
    <xf borderId="8" fillId="3" fontId="13" numFmtId="167" xfId="0" applyBorder="1" applyFont="1" applyNumberFormat="1"/>
    <xf borderId="8" fillId="3" fontId="1" numFmtId="10" xfId="0" applyBorder="1" applyFont="1" applyNumberFormat="1"/>
    <xf borderId="8" fillId="12" fontId="15" numFmtId="167" xfId="0" applyAlignment="1" applyBorder="1" applyFill="1" applyFont="1" applyNumberFormat="1">
      <alignment horizontal="center" vertical="center"/>
    </xf>
    <xf borderId="0" fillId="0" fontId="1" numFmtId="166" xfId="0" applyAlignment="1" applyFont="1" applyNumberFormat="1">
      <alignment horizontal="center"/>
    </xf>
    <xf borderId="7" fillId="10" fontId="1" numFmtId="166" xfId="0" applyBorder="1" applyFont="1" applyNumberFormat="1"/>
    <xf borderId="7" fillId="10" fontId="1" numFmtId="166" xfId="0" applyAlignment="1" applyBorder="1" applyFont="1" applyNumberFormat="1">
      <alignment horizontal="center"/>
    </xf>
    <xf borderId="7" fillId="10" fontId="1" numFmtId="167" xfId="0" applyBorder="1" applyFont="1" applyNumberFormat="1"/>
    <xf borderId="7" fillId="10" fontId="1" numFmtId="167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/>
    </xf>
    <xf borderId="0" fillId="0" fontId="16" numFmtId="0" xfId="0" applyFont="1"/>
    <xf borderId="7" fillId="2" fontId="14" numFmtId="0" xfId="0" applyAlignment="1" applyBorder="1" applyFont="1">
      <alignment horizontal="center" vertical="center"/>
    </xf>
    <xf borderId="9" fillId="2" fontId="17" numFmtId="0" xfId="0" applyAlignment="1" applyBorder="1" applyFont="1">
      <alignment horizontal="center" vertical="center"/>
    </xf>
    <xf borderId="10" fillId="0" fontId="3" numFmtId="0" xfId="0" applyBorder="1" applyFont="1"/>
    <xf borderId="0" fillId="0" fontId="1" numFmtId="167" xfId="0" applyFont="1" applyNumberFormat="1"/>
    <xf borderId="0" fillId="0" fontId="1" numFmtId="167" xfId="0" applyAlignment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Font="1"/>
    <xf borderId="0" fillId="0" fontId="1" numFmtId="10" xfId="0" applyFont="1" applyNumberFormat="1"/>
    <xf borderId="0" fillId="0" fontId="1" numFmtId="0" xfId="0" applyAlignment="1" applyFont="1">
      <alignment horizontal="center"/>
    </xf>
    <xf borderId="0" fillId="0" fontId="18" numFmtId="0" xfId="0" applyFont="1"/>
    <xf borderId="0" fillId="0" fontId="1" numFmtId="171" xfId="0" applyFont="1" applyNumberFormat="1"/>
    <xf borderId="0" fillId="0" fontId="19" numFmtId="0" xfId="0" applyAlignment="1" applyFont="1">
      <alignment horizontal="center" shrinkToFit="0" vertical="center" wrapText="1"/>
    </xf>
    <xf borderId="0" fillId="0" fontId="1" numFmtId="14" xfId="0" applyFont="1" applyNumberFormat="1"/>
    <xf borderId="0" fillId="0" fontId="20" numFmtId="0" xfId="0" applyFont="1"/>
    <xf borderId="0" fillId="0" fontId="1" numFmtId="9" xfId="0" applyFont="1" applyNumberFormat="1"/>
    <xf borderId="0" fillId="0" fontId="1" numFmtId="166" xfId="0" applyFont="1" applyNumberFormat="1"/>
    <xf borderId="0" fillId="0" fontId="1" numFmtId="172" xfId="0" applyAlignment="1" applyFont="1" applyNumberFormat="1">
      <alignment horizontal="center"/>
    </xf>
    <xf borderId="0" fillId="0" fontId="13" numFmtId="166" xfId="0" applyFont="1" applyNumberFormat="1"/>
    <xf borderId="0" fillId="0" fontId="14" numFmtId="167" xfId="0" applyFont="1" applyNumberFormat="1"/>
    <xf borderId="0" fillId="0" fontId="21" numFmtId="167" xfId="0" applyAlignment="1" applyFont="1" applyNumberFormat="1">
      <alignment horizontal="center" vertical="center"/>
    </xf>
    <xf borderId="0" fillId="0" fontId="1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1866900" cy="904875"/>
    <xdr:pic>
      <xdr:nvPicPr>
        <xdr:cNvPr descr="Yellow flowers in flower fiel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7.88"/>
    <col customWidth="1" min="3" max="3" width="9.13"/>
    <col customWidth="1" min="4" max="4" width="16.63"/>
    <col customWidth="1" min="5" max="5" width="28.5"/>
    <col customWidth="1" min="6" max="6" width="16.5"/>
    <col customWidth="1" min="7" max="7" width="22.25"/>
    <col customWidth="1" min="8" max="8" width="17.25"/>
    <col customWidth="1" min="9" max="9" width="21.13"/>
    <col customWidth="1" min="10" max="10" width="21.88"/>
    <col customWidth="1" min="11" max="11" width="20.0"/>
    <col customWidth="1" min="12" max="12" width="14.63"/>
    <col customWidth="1" min="13" max="13" width="14.0"/>
    <col customWidth="1" min="14" max="14" width="17.25"/>
    <col customWidth="1" min="15" max="15" width="22.25"/>
    <col customWidth="1" min="16" max="16" width="21.0"/>
    <col customWidth="1" min="17" max="17" width="17.75"/>
    <col customWidth="1" min="18" max="18" width="20.13"/>
    <col customWidth="1" min="19" max="19" width="24.0"/>
    <col customWidth="1" min="20" max="20" width="20.63"/>
    <col customWidth="1" min="21" max="21" width="23.88"/>
    <col customWidth="1" min="22" max="22" width="23.5"/>
    <col customWidth="1" min="23" max="23" width="26.75"/>
    <col customWidth="1" min="24" max="24" width="24.13"/>
    <col customWidth="1" min="25" max="26" width="20.75"/>
    <col customWidth="1" min="27" max="27" width="15.88"/>
    <col customWidth="1" min="28" max="28" width="19.25"/>
    <col customWidth="1" min="29" max="29" width="17.75"/>
    <col customWidth="1" min="30" max="30" width="20.13"/>
    <col customWidth="1" min="31" max="31" width="14.25"/>
    <col customWidth="1" min="32" max="32" width="14.0"/>
    <col customWidth="1" min="33" max="33" width="10.63"/>
  </cols>
  <sheetData>
    <row r="1" ht="21.0" customHeight="1">
      <c r="A1" s="1"/>
      <c r="B1" s="2" t="s">
        <v>0</v>
      </c>
      <c r="C1" s="3"/>
      <c r="D1" s="3"/>
      <c r="E1" s="4"/>
      <c r="F1" s="5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6"/>
      <c r="T1" s="6"/>
      <c r="U1" s="6"/>
      <c r="V1" s="6"/>
      <c r="W1" s="7"/>
      <c r="X1" s="6"/>
      <c r="Y1" s="6"/>
      <c r="Z1" s="6"/>
      <c r="AA1" s="6"/>
      <c r="AB1" s="6"/>
      <c r="AC1" s="6"/>
      <c r="AD1" s="6"/>
      <c r="AE1" s="6"/>
      <c r="AF1" s="6"/>
      <c r="AG1" s="6"/>
    </row>
    <row r="2" ht="15.75" customHeight="1">
      <c r="A2" s="8"/>
      <c r="B2" s="8"/>
      <c r="C2" s="8"/>
      <c r="D2" s="8"/>
      <c r="E2" s="8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6"/>
      <c r="T2" s="6"/>
      <c r="U2" s="6"/>
      <c r="V2" s="6"/>
      <c r="W2" s="7"/>
      <c r="X2" s="6"/>
      <c r="Y2" s="6"/>
      <c r="Z2" s="6"/>
      <c r="AA2" s="6"/>
      <c r="AB2" s="6"/>
      <c r="AC2" s="6"/>
      <c r="AD2" s="6"/>
      <c r="AE2" s="6"/>
      <c r="AF2" s="6"/>
      <c r="AG2" s="6"/>
    </row>
    <row r="3" ht="34.5" customHeight="1">
      <c r="A3" s="8"/>
      <c r="B3" s="8"/>
      <c r="C3" s="8"/>
      <c r="D3" s="8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6"/>
      <c r="T3" s="6"/>
      <c r="U3" s="6"/>
      <c r="V3" s="6"/>
      <c r="W3" s="7"/>
      <c r="X3" s="6"/>
      <c r="Y3" s="6"/>
      <c r="Z3" s="6"/>
      <c r="AA3" s="6"/>
      <c r="AB3" s="6"/>
      <c r="AC3" s="6"/>
      <c r="AD3" s="6"/>
      <c r="AE3" s="6"/>
      <c r="AF3" s="6"/>
      <c r="AG3" s="9"/>
    </row>
    <row r="4" ht="15.75" hidden="1" customHeight="1">
      <c r="A4" s="8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6"/>
      <c r="T4" s="6"/>
      <c r="U4" s="6"/>
      <c r="V4" s="6"/>
      <c r="W4" s="7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40.5" customHeight="1">
      <c r="A5" s="8"/>
      <c r="B5" s="10" t="s">
        <v>1</v>
      </c>
      <c r="C5" s="10" t="s">
        <v>2</v>
      </c>
      <c r="D5" s="10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0" t="s">
        <v>14</v>
      </c>
      <c r="P5" s="10" t="s">
        <v>15</v>
      </c>
      <c r="Q5" s="10" t="s">
        <v>16</v>
      </c>
      <c r="R5" s="11" t="s">
        <v>17</v>
      </c>
      <c r="S5" s="12" t="s">
        <v>18</v>
      </c>
      <c r="T5" s="12" t="s">
        <v>19</v>
      </c>
      <c r="U5" s="12" t="s">
        <v>20</v>
      </c>
      <c r="V5" s="12" t="s">
        <v>21</v>
      </c>
      <c r="W5" s="11" t="s">
        <v>22</v>
      </c>
      <c r="X5" s="12" t="s">
        <v>23</v>
      </c>
      <c r="Y5" s="12" t="s">
        <v>24</v>
      </c>
      <c r="Z5" s="12" t="s">
        <v>25</v>
      </c>
      <c r="AA5" s="10" t="s">
        <v>26</v>
      </c>
      <c r="AB5" s="10" t="s">
        <v>27</v>
      </c>
      <c r="AC5" s="10" t="s">
        <v>28</v>
      </c>
      <c r="AD5" s="10" t="s">
        <v>29</v>
      </c>
      <c r="AE5" s="10" t="s">
        <v>30</v>
      </c>
      <c r="AF5" s="10" t="s">
        <v>31</v>
      </c>
      <c r="AG5" s="10" t="s">
        <v>32</v>
      </c>
    </row>
    <row r="6" ht="19.5" customHeight="1">
      <c r="A6" s="8"/>
      <c r="B6" s="13"/>
      <c r="C6" s="14"/>
      <c r="D6" s="14"/>
      <c r="E6" s="14"/>
      <c r="F6" s="14"/>
      <c r="G6" s="15"/>
      <c r="H6" s="15"/>
      <c r="I6" s="15"/>
      <c r="J6" s="15"/>
      <c r="K6" s="15"/>
      <c r="L6" s="15"/>
      <c r="M6" s="15"/>
      <c r="N6" s="16"/>
      <c r="O6" s="16"/>
      <c r="P6" s="16"/>
      <c r="Q6" s="17"/>
      <c r="R6" s="18"/>
      <c r="S6" s="17"/>
      <c r="T6" s="17"/>
      <c r="U6" s="17"/>
      <c r="V6" s="17"/>
      <c r="W6" s="18"/>
      <c r="X6" s="17"/>
      <c r="Y6" s="17"/>
      <c r="Z6" s="17"/>
      <c r="AA6" s="19"/>
      <c r="AB6" s="14"/>
      <c r="AC6" s="14"/>
      <c r="AD6" s="14"/>
      <c r="AE6" s="19"/>
      <c r="AF6" s="14"/>
      <c r="AG6" s="14"/>
    </row>
    <row r="7" ht="19.5" customHeight="1">
      <c r="A7" s="8"/>
      <c r="B7" s="13"/>
      <c r="C7" s="14"/>
      <c r="D7" s="14"/>
      <c r="E7" s="14"/>
      <c r="F7" s="14"/>
      <c r="G7" s="15"/>
      <c r="H7" s="15"/>
      <c r="I7" s="15"/>
      <c r="J7" s="15"/>
      <c r="K7" s="15"/>
      <c r="L7" s="15"/>
      <c r="M7" s="15"/>
      <c r="N7" s="16"/>
      <c r="O7" s="16"/>
      <c r="P7" s="16"/>
      <c r="Q7" s="17"/>
      <c r="R7" s="18"/>
      <c r="S7" s="17"/>
      <c r="T7" s="17"/>
      <c r="U7" s="17"/>
      <c r="V7" s="17"/>
      <c r="W7" s="18"/>
      <c r="X7" s="17"/>
      <c r="Y7" s="17"/>
      <c r="Z7" s="17"/>
      <c r="AA7" s="19"/>
      <c r="AB7" s="14"/>
      <c r="AC7" s="14"/>
      <c r="AD7" s="14"/>
      <c r="AE7" s="19"/>
      <c r="AF7" s="14"/>
      <c r="AG7" s="14"/>
    </row>
    <row r="8" ht="19.5" customHeight="1">
      <c r="A8" s="8"/>
      <c r="B8" s="20"/>
      <c r="C8" s="21"/>
      <c r="D8" s="22"/>
      <c r="E8" s="23"/>
      <c r="F8" s="24"/>
      <c r="G8" s="25"/>
      <c r="H8" s="26"/>
      <c r="I8" s="27"/>
      <c r="J8" s="28"/>
      <c r="K8" s="29"/>
      <c r="L8" s="30"/>
      <c r="M8" s="30"/>
      <c r="N8" s="31"/>
      <c r="O8" s="32"/>
      <c r="P8" s="31"/>
      <c r="Q8" s="33"/>
      <c r="R8" s="18"/>
      <c r="S8" s="33"/>
      <c r="T8" s="33"/>
      <c r="U8" s="33"/>
      <c r="V8" s="33"/>
      <c r="W8" s="18"/>
      <c r="X8" s="33"/>
      <c r="Y8" s="33"/>
      <c r="Z8" s="33"/>
      <c r="AA8" s="34"/>
      <c r="AB8" s="35"/>
      <c r="AC8" s="36"/>
      <c r="AD8" s="36"/>
      <c r="AE8" s="37"/>
      <c r="AF8" s="36"/>
      <c r="AG8" s="38"/>
    </row>
    <row r="9" ht="19.5" customHeight="1">
      <c r="A9" s="8"/>
      <c r="B9" s="20" t="s">
        <v>33</v>
      </c>
      <c r="C9" s="39">
        <v>45918.0</v>
      </c>
      <c r="D9" s="38" t="s">
        <v>34</v>
      </c>
      <c r="E9" s="40" t="s">
        <v>35</v>
      </c>
      <c r="F9" s="38" t="s">
        <v>36</v>
      </c>
      <c r="G9" s="41">
        <v>0.05</v>
      </c>
      <c r="H9" s="42" t="s">
        <v>37</v>
      </c>
      <c r="I9" s="43">
        <v>1.36</v>
      </c>
      <c r="J9" s="44">
        <v>7000.0</v>
      </c>
      <c r="K9" s="30">
        <f t="shared" ref="K9:K12" si="1">I9*J9</f>
        <v>9520</v>
      </c>
      <c r="L9" s="30">
        <f t="shared" ref="L9:L12" si="2">K9*G9</f>
        <v>476</v>
      </c>
      <c r="M9" s="30">
        <f t="shared" ref="M9:M12" si="3">K9-L9</f>
        <v>9044</v>
      </c>
      <c r="N9" s="45">
        <v>7500.0</v>
      </c>
      <c r="O9" s="32" t="s">
        <v>38</v>
      </c>
      <c r="P9" s="45">
        <f t="shared" ref="P9:P12" si="4">N9</f>
        <v>7500</v>
      </c>
      <c r="Q9" s="46">
        <v>300.0</v>
      </c>
      <c r="R9" s="47" t="s">
        <v>39</v>
      </c>
      <c r="S9" s="48">
        <v>300.0</v>
      </c>
      <c r="T9" s="48">
        <v>0.0</v>
      </c>
      <c r="U9" s="48">
        <v>0.0</v>
      </c>
      <c r="V9" s="48">
        <v>0.0</v>
      </c>
      <c r="W9" s="47" t="s">
        <v>40</v>
      </c>
      <c r="X9" s="48">
        <v>0.0</v>
      </c>
      <c r="Y9" s="48">
        <v>0.0</v>
      </c>
      <c r="Z9" s="48">
        <v>0.0</v>
      </c>
      <c r="AA9" s="49">
        <f t="shared" ref="AA9:AA12" si="5">M9-P9-Q9</f>
        <v>1244</v>
      </c>
      <c r="AB9" s="39">
        <v>45636.0</v>
      </c>
      <c r="AC9" s="38" t="s">
        <v>41</v>
      </c>
      <c r="AD9" s="38" t="s">
        <v>42</v>
      </c>
      <c r="AE9" s="50">
        <f t="shared" ref="AE9:AE12" si="6">(AA9/(P9+Q9))/(AF9/365)</f>
        <v>0.2064284415</v>
      </c>
      <c r="AF9" s="38">
        <f t="shared" ref="AF9:AF12" si="7">C9-AB9</f>
        <v>282</v>
      </c>
      <c r="AG9" s="38" t="s">
        <v>43</v>
      </c>
    </row>
    <row r="10" ht="19.5" customHeight="1">
      <c r="A10" s="8"/>
      <c r="B10" s="20" t="s">
        <v>33</v>
      </c>
      <c r="C10" s="39">
        <v>45918.0</v>
      </c>
      <c r="D10" s="38" t="s">
        <v>34</v>
      </c>
      <c r="E10" s="40" t="s">
        <v>44</v>
      </c>
      <c r="F10" s="38" t="s">
        <v>36</v>
      </c>
      <c r="G10" s="41">
        <v>0.05</v>
      </c>
      <c r="H10" s="42" t="s">
        <v>37</v>
      </c>
      <c r="I10" s="43">
        <v>1.36</v>
      </c>
      <c r="J10" s="44">
        <v>3000.0</v>
      </c>
      <c r="K10" s="30">
        <f t="shared" si="1"/>
        <v>4080</v>
      </c>
      <c r="L10" s="30">
        <f t="shared" si="2"/>
        <v>204</v>
      </c>
      <c r="M10" s="30">
        <f t="shared" si="3"/>
        <v>3876</v>
      </c>
      <c r="N10" s="45">
        <v>3750.0</v>
      </c>
      <c r="O10" s="32" t="s">
        <v>38</v>
      </c>
      <c r="P10" s="45">
        <f t="shared" si="4"/>
        <v>3750</v>
      </c>
      <c r="Q10" s="46">
        <v>0.0</v>
      </c>
      <c r="R10" s="47" t="s">
        <v>40</v>
      </c>
      <c r="S10" s="46">
        <v>0.0</v>
      </c>
      <c r="T10" s="46">
        <v>0.0</v>
      </c>
      <c r="U10" s="46">
        <v>0.0</v>
      </c>
      <c r="V10" s="46">
        <v>0.0</v>
      </c>
      <c r="W10" s="47" t="s">
        <v>40</v>
      </c>
      <c r="X10" s="46">
        <v>0.0</v>
      </c>
      <c r="Y10" s="46">
        <v>0.0</v>
      </c>
      <c r="Z10" s="46">
        <v>0.0</v>
      </c>
      <c r="AA10" s="49">
        <f t="shared" si="5"/>
        <v>126</v>
      </c>
      <c r="AB10" s="39">
        <v>45636.0</v>
      </c>
      <c r="AC10" s="38" t="s">
        <v>41</v>
      </c>
      <c r="AD10" s="38" t="s">
        <v>42</v>
      </c>
      <c r="AE10" s="50">
        <f t="shared" si="6"/>
        <v>0.0434893617</v>
      </c>
      <c r="AF10" s="38">
        <f t="shared" si="7"/>
        <v>282</v>
      </c>
      <c r="AG10" s="38" t="s">
        <v>43</v>
      </c>
    </row>
    <row r="11" ht="19.5" customHeight="1">
      <c r="A11" s="8"/>
      <c r="B11" s="20" t="s">
        <v>33</v>
      </c>
      <c r="C11" s="39">
        <v>45847.0</v>
      </c>
      <c r="D11" s="38" t="s">
        <v>34</v>
      </c>
      <c r="E11" s="40" t="s">
        <v>45</v>
      </c>
      <c r="F11" s="38" t="s">
        <v>46</v>
      </c>
      <c r="G11" s="41">
        <v>0.0</v>
      </c>
      <c r="H11" s="42" t="s">
        <v>37</v>
      </c>
      <c r="I11" s="43">
        <v>1.34</v>
      </c>
      <c r="J11" s="44">
        <v>5200.0</v>
      </c>
      <c r="K11" s="30">
        <f t="shared" si="1"/>
        <v>6968</v>
      </c>
      <c r="L11" s="30">
        <f t="shared" si="2"/>
        <v>0</v>
      </c>
      <c r="M11" s="30">
        <f t="shared" si="3"/>
        <v>6968</v>
      </c>
      <c r="N11" s="45">
        <v>6875.0</v>
      </c>
      <c r="O11" s="32"/>
      <c r="P11" s="45">
        <f t="shared" si="4"/>
        <v>6875</v>
      </c>
      <c r="Q11" s="46">
        <v>0.0</v>
      </c>
      <c r="R11" s="47" t="s">
        <v>40</v>
      </c>
      <c r="S11" s="46">
        <v>0.0</v>
      </c>
      <c r="T11" s="46">
        <v>0.0</v>
      </c>
      <c r="U11" s="46">
        <v>0.0</v>
      </c>
      <c r="V11" s="46">
        <v>0.0</v>
      </c>
      <c r="W11" s="47" t="s">
        <v>40</v>
      </c>
      <c r="X11" s="46">
        <v>0.0</v>
      </c>
      <c r="Y11" s="46">
        <v>0.0</v>
      </c>
      <c r="Z11" s="46">
        <v>0.0</v>
      </c>
      <c r="AA11" s="49">
        <f t="shared" si="5"/>
        <v>93</v>
      </c>
      <c r="AB11" s="39">
        <v>45584.0</v>
      </c>
      <c r="AC11" s="38" t="s">
        <v>47</v>
      </c>
      <c r="AD11" s="38" t="s">
        <v>42</v>
      </c>
      <c r="AE11" s="50">
        <f t="shared" si="6"/>
        <v>0.01877359143</v>
      </c>
      <c r="AF11" s="38">
        <f t="shared" si="7"/>
        <v>263</v>
      </c>
      <c r="AG11" s="38" t="s">
        <v>43</v>
      </c>
    </row>
    <row r="12" ht="19.5" customHeight="1">
      <c r="A12" s="8"/>
      <c r="B12" s="20" t="s">
        <v>33</v>
      </c>
      <c r="C12" s="39">
        <v>45799.0</v>
      </c>
      <c r="D12" s="38" t="s">
        <v>48</v>
      </c>
      <c r="E12" s="40" t="s">
        <v>49</v>
      </c>
      <c r="F12" s="38" t="s">
        <v>50</v>
      </c>
      <c r="G12" s="41">
        <v>0.05</v>
      </c>
      <c r="H12" s="42" t="s">
        <v>42</v>
      </c>
      <c r="I12" s="43">
        <v>1.0</v>
      </c>
      <c r="J12" s="30">
        <v>6000.0</v>
      </c>
      <c r="K12" s="30">
        <f t="shared" si="1"/>
        <v>6000</v>
      </c>
      <c r="L12" s="30">
        <f t="shared" si="2"/>
        <v>300</v>
      </c>
      <c r="M12" s="30">
        <f t="shared" si="3"/>
        <v>5700</v>
      </c>
      <c r="N12" s="45">
        <v>5000.0</v>
      </c>
      <c r="O12" s="32"/>
      <c r="P12" s="45">
        <f t="shared" si="4"/>
        <v>5000</v>
      </c>
      <c r="Q12" s="46">
        <v>120.0</v>
      </c>
      <c r="R12" s="47" t="s">
        <v>39</v>
      </c>
      <c r="S12" s="48">
        <v>120.0</v>
      </c>
      <c r="T12" s="48">
        <v>0.0</v>
      </c>
      <c r="U12" s="48">
        <v>0.0</v>
      </c>
      <c r="V12" s="48">
        <v>0.0</v>
      </c>
      <c r="W12" s="47" t="s">
        <v>40</v>
      </c>
      <c r="X12" s="48">
        <v>0.0</v>
      </c>
      <c r="Y12" s="48">
        <v>0.0</v>
      </c>
      <c r="Z12" s="48">
        <v>0.0</v>
      </c>
      <c r="AA12" s="49">
        <f t="shared" si="5"/>
        <v>580</v>
      </c>
      <c r="AB12" s="39">
        <v>45584.0</v>
      </c>
      <c r="AC12" s="38" t="s">
        <v>47</v>
      </c>
      <c r="AD12" s="38" t="s">
        <v>42</v>
      </c>
      <c r="AE12" s="50">
        <f t="shared" si="6"/>
        <v>0.1923146802</v>
      </c>
      <c r="AF12" s="38">
        <f t="shared" si="7"/>
        <v>215</v>
      </c>
      <c r="AG12" s="38" t="s">
        <v>43</v>
      </c>
    </row>
    <row r="13" ht="19.5" customHeight="1">
      <c r="A13" s="8"/>
      <c r="B13" s="20"/>
      <c r="C13" s="21"/>
      <c r="D13" s="24"/>
      <c r="E13" s="51"/>
      <c r="F13" s="24"/>
      <c r="G13" s="25"/>
      <c r="H13" s="26"/>
      <c r="I13" s="27"/>
      <c r="J13" s="28"/>
      <c r="K13" s="29"/>
      <c r="L13" s="30"/>
      <c r="M13" s="30"/>
      <c r="N13" s="31"/>
      <c r="O13" s="32"/>
      <c r="P13" s="31"/>
      <c r="Q13" s="33"/>
      <c r="R13" s="18"/>
      <c r="S13" s="18"/>
      <c r="T13" s="33"/>
      <c r="U13" s="33"/>
      <c r="V13" s="33"/>
      <c r="W13" s="18"/>
      <c r="X13" s="18"/>
      <c r="Y13" s="33"/>
      <c r="Z13" s="33"/>
      <c r="AA13" s="34"/>
      <c r="AB13" s="35"/>
      <c r="AC13" s="36"/>
      <c r="AD13" s="36"/>
      <c r="AE13" s="37"/>
      <c r="AF13" s="36"/>
      <c r="AG13" s="38"/>
    </row>
    <row r="14" ht="18.75" customHeight="1">
      <c r="A14" s="8"/>
      <c r="B14" s="20"/>
      <c r="C14" s="21"/>
      <c r="D14" s="24"/>
      <c r="E14" s="51"/>
      <c r="F14" s="24"/>
      <c r="G14" s="25"/>
      <c r="H14" s="26"/>
      <c r="I14" s="27"/>
      <c r="J14" s="29"/>
      <c r="K14" s="29"/>
      <c r="L14" s="30"/>
      <c r="M14" s="30"/>
      <c r="N14" s="31"/>
      <c r="O14" s="32"/>
      <c r="P14" s="31"/>
      <c r="Q14" s="33"/>
      <c r="R14" s="18"/>
      <c r="S14" s="33"/>
      <c r="T14" s="33"/>
      <c r="U14" s="33"/>
      <c r="V14" s="33"/>
      <c r="W14" s="18"/>
      <c r="X14" s="33"/>
      <c r="Y14" s="33"/>
      <c r="Z14" s="33"/>
      <c r="AA14" s="34"/>
      <c r="AB14" s="35"/>
      <c r="AC14" s="36"/>
      <c r="AD14" s="36"/>
      <c r="AE14" s="37"/>
      <c r="AF14" s="36"/>
      <c r="AG14" s="38"/>
    </row>
    <row r="15" ht="18.75" customHeight="1">
      <c r="A15" s="8"/>
      <c r="B15" s="52"/>
      <c r="C15" s="53"/>
      <c r="D15" s="54"/>
      <c r="E15" s="55"/>
      <c r="F15" s="54"/>
      <c r="G15" s="56"/>
      <c r="H15" s="54"/>
      <c r="I15" s="57"/>
      <c r="J15" s="58"/>
      <c r="K15" s="59"/>
      <c r="L15" s="59"/>
      <c r="M15" s="59"/>
      <c r="N15" s="60"/>
      <c r="O15" s="57"/>
      <c r="P15" s="61"/>
      <c r="Q15" s="59"/>
      <c r="R15" s="62"/>
      <c r="S15" s="59"/>
      <c r="T15" s="59"/>
      <c r="U15" s="59"/>
      <c r="V15" s="59"/>
      <c r="W15" s="62"/>
      <c r="X15" s="59"/>
      <c r="Y15" s="59"/>
      <c r="Z15" s="59"/>
      <c r="AA15" s="63"/>
      <c r="AB15" s="53"/>
      <c r="AC15" s="54"/>
      <c r="AD15" s="54"/>
      <c r="AE15" s="64"/>
      <c r="AF15" s="54"/>
      <c r="AG15" s="65"/>
    </row>
    <row r="16" ht="6.75" customHeight="1">
      <c r="A16" s="8"/>
      <c r="B16" s="66"/>
      <c r="C16" s="67"/>
      <c r="D16" s="8"/>
      <c r="E16" s="68"/>
      <c r="F16" s="8"/>
      <c r="G16" s="69"/>
      <c r="H16" s="8"/>
      <c r="I16" s="70"/>
      <c r="J16" s="71"/>
      <c r="K16" s="71"/>
      <c r="L16" s="71"/>
      <c r="M16" s="71"/>
      <c r="N16" s="72"/>
      <c r="O16" s="73"/>
      <c r="P16" s="72"/>
      <c r="Q16" s="71"/>
      <c r="R16" s="74"/>
      <c r="S16" s="71"/>
      <c r="T16" s="71"/>
      <c r="U16" s="71"/>
      <c r="V16" s="71"/>
      <c r="W16" s="74"/>
      <c r="X16" s="71"/>
      <c r="Y16" s="71"/>
      <c r="Z16" s="71"/>
      <c r="AA16" s="75"/>
      <c r="AB16" s="67"/>
      <c r="AC16" s="8"/>
      <c r="AD16" s="8"/>
      <c r="AE16" s="76"/>
      <c r="AF16" s="8"/>
      <c r="AG16" s="73"/>
    </row>
    <row r="17" ht="24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  <c r="S17" s="6"/>
      <c r="T17" s="6"/>
      <c r="U17" s="6"/>
      <c r="V17" s="6"/>
      <c r="W17" s="7"/>
      <c r="X17" s="6"/>
      <c r="Y17" s="6"/>
      <c r="Z17" s="6"/>
      <c r="AA17" s="77" t="s">
        <v>51</v>
      </c>
      <c r="AB17" s="6"/>
      <c r="AC17" s="6"/>
      <c r="AD17" s="6"/>
      <c r="AE17" s="77" t="s">
        <v>52</v>
      </c>
      <c r="AF17" s="6"/>
      <c r="AG17" s="6"/>
    </row>
    <row r="18" ht="21.0" customHeight="1">
      <c r="A18" s="6"/>
      <c r="B18" s="6"/>
      <c r="C18" s="6"/>
      <c r="D18" s="6"/>
      <c r="E18" s="6"/>
      <c r="F18" s="6"/>
      <c r="G18" s="6"/>
      <c r="H18" s="6"/>
      <c r="I18" s="6"/>
      <c r="J18" s="78"/>
      <c r="K18" s="79">
        <f t="shared" ref="K18:M18" si="8">SUM(K8:K15)</f>
        <v>26568</v>
      </c>
      <c r="L18" s="79">
        <f t="shared" si="8"/>
        <v>980</v>
      </c>
      <c r="M18" s="79">
        <f t="shared" si="8"/>
        <v>25588</v>
      </c>
      <c r="N18" s="80" t="s">
        <v>38</v>
      </c>
      <c r="O18" s="80" t="s">
        <v>38</v>
      </c>
      <c r="P18" s="81">
        <f t="shared" ref="P18:Q18" si="9">SUM(P8:P15)</f>
        <v>23125</v>
      </c>
      <c r="Q18" s="81">
        <f t="shared" si="9"/>
        <v>420</v>
      </c>
      <c r="R18" s="82"/>
      <c r="S18" s="81">
        <f t="shared" ref="S18:V18" si="10">SUM(S8:S15)</f>
        <v>420</v>
      </c>
      <c r="T18" s="81">
        <f t="shared" si="10"/>
        <v>0</v>
      </c>
      <c r="U18" s="81">
        <f t="shared" si="10"/>
        <v>0</v>
      </c>
      <c r="V18" s="81">
        <f t="shared" si="10"/>
        <v>0</v>
      </c>
      <c r="W18" s="82"/>
      <c r="X18" s="81">
        <f t="shared" ref="X18:Z18" si="11">SUM(X8:X15)</f>
        <v>0</v>
      </c>
      <c r="Y18" s="81">
        <f t="shared" si="11"/>
        <v>0</v>
      </c>
      <c r="Z18" s="81">
        <f t="shared" si="11"/>
        <v>0</v>
      </c>
      <c r="AA18" s="34">
        <f>SUM(AA8:AA14)</f>
        <v>2043</v>
      </c>
      <c r="AB18" s="6"/>
      <c r="AC18" s="6"/>
      <c r="AD18" s="83" t="s">
        <v>53</v>
      </c>
      <c r="AE18" s="37">
        <f>(AA18/(P18+Q18))/(AF18/365)</f>
        <v>0.1123087072</v>
      </c>
      <c r="AF18" s="84">
        <f>MAX(AF6:AF14)</f>
        <v>282</v>
      </c>
      <c r="AG18" s="84" t="s">
        <v>54</v>
      </c>
    </row>
    <row r="19" ht="21.0" customHeight="1">
      <c r="A19" s="6"/>
      <c r="B19" s="6"/>
      <c r="C19" s="6"/>
      <c r="D19" s="85"/>
      <c r="E19" s="86"/>
      <c r="F19" s="87"/>
      <c r="G19" s="6"/>
      <c r="H19" s="6"/>
      <c r="I19" s="6"/>
      <c r="J19" s="6"/>
      <c r="K19" s="6"/>
      <c r="L19" s="6"/>
      <c r="M19" s="6"/>
      <c r="N19" s="6"/>
      <c r="O19" s="6"/>
      <c r="P19" s="6"/>
      <c r="Q19" s="88"/>
      <c r="R19" s="89"/>
      <c r="S19" s="88"/>
      <c r="T19" s="88"/>
      <c r="U19" s="88"/>
      <c r="V19" s="88"/>
      <c r="W19" s="89"/>
      <c r="X19" s="88"/>
      <c r="Y19" s="88"/>
      <c r="Z19" s="88"/>
      <c r="AA19" s="77" t="s">
        <v>55</v>
      </c>
      <c r="AB19" s="6"/>
      <c r="AC19" s="6"/>
      <c r="AD19" s="83" t="s">
        <v>56</v>
      </c>
      <c r="AE19" s="37">
        <f>(AA18/(P18+Q18))/(AF19/365)</f>
        <v>0.1215779479</v>
      </c>
      <c r="AF19" s="84">
        <f>AVERAGE(AF6:AF14)</f>
        <v>260.5</v>
      </c>
      <c r="AG19" s="84" t="s">
        <v>54</v>
      </c>
    </row>
    <row r="20" ht="18.0" customHeight="1">
      <c r="A20" s="6"/>
      <c r="B20" s="6"/>
      <c r="C20" s="6"/>
      <c r="D20" s="90"/>
      <c r="E20" s="9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88"/>
      <c r="R20" s="89"/>
      <c r="S20" s="88"/>
      <c r="T20" s="88"/>
      <c r="U20" s="88"/>
      <c r="V20" s="88"/>
      <c r="W20" s="89"/>
      <c r="X20" s="88"/>
      <c r="Y20" s="88"/>
      <c r="Z20" s="88"/>
      <c r="AA20" s="34" t="str">
        <f>AC21</f>
        <v/>
      </c>
      <c r="AB20" s="6"/>
      <c r="AC20" s="6"/>
      <c r="AD20" s="91"/>
      <c r="AE20" s="92"/>
      <c r="AF20" s="6"/>
      <c r="AG20" s="6"/>
    </row>
    <row r="21" ht="21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  <c r="S21" s="6"/>
      <c r="T21" s="6"/>
      <c r="U21" s="6"/>
      <c r="V21" s="6"/>
      <c r="W21" s="7"/>
      <c r="X21" s="6"/>
      <c r="Y21" s="6"/>
      <c r="Z21" s="6"/>
      <c r="AA21" s="77" t="s">
        <v>57</v>
      </c>
      <c r="AB21" s="6"/>
      <c r="AC21" s="93"/>
      <c r="AD21" s="88"/>
      <c r="AE21" s="6"/>
      <c r="AF21" s="6"/>
      <c r="AG21" s="6"/>
    </row>
    <row r="22" ht="18.75" customHeight="1">
      <c r="A22" s="6"/>
      <c r="B22" s="6"/>
      <c r="C22" s="9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7"/>
      <c r="S22" s="6"/>
      <c r="T22" s="6"/>
      <c r="U22" s="6"/>
      <c r="V22" s="6"/>
      <c r="W22" s="7"/>
      <c r="X22" s="6"/>
      <c r="Y22" s="6"/>
      <c r="Z22" s="6"/>
      <c r="AA22" s="34"/>
      <c r="AB22" s="6"/>
      <c r="AC22" s="6"/>
      <c r="AD22" s="6"/>
      <c r="AE22" s="6"/>
      <c r="AF22" s="6"/>
      <c r="AG22" s="6"/>
    </row>
    <row r="23" ht="4.5" customHeight="1">
      <c r="A23" s="6"/>
      <c r="B23" s="6"/>
      <c r="C23" s="94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  <c r="S23" s="6"/>
      <c r="T23" s="6"/>
      <c r="U23" s="6"/>
      <c r="V23" s="6"/>
      <c r="W23" s="7"/>
      <c r="X23" s="6"/>
      <c r="Y23" s="6"/>
      <c r="Z23" s="6"/>
      <c r="AA23" s="88"/>
      <c r="AB23" s="6"/>
      <c r="AC23" s="6"/>
      <c r="AD23" s="6"/>
      <c r="AE23" s="6"/>
      <c r="AF23" s="6"/>
      <c r="AG23" s="6"/>
    </row>
    <row r="24" ht="4.5" customHeight="1">
      <c r="A24" s="6"/>
      <c r="B24" s="6"/>
      <c r="C24" s="94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7"/>
      <c r="S24" s="6"/>
      <c r="T24" s="6"/>
      <c r="U24" s="6"/>
      <c r="V24" s="6"/>
      <c r="W24" s="7"/>
      <c r="X24" s="6"/>
      <c r="Y24" s="6"/>
      <c r="Z24" s="6"/>
      <c r="AA24" s="88"/>
      <c r="AB24" s="6"/>
      <c r="AC24" s="6"/>
      <c r="AD24" s="6"/>
      <c r="AE24" s="6"/>
      <c r="AF24" s="6"/>
      <c r="AG24" s="6"/>
    </row>
    <row r="25" ht="3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7"/>
      <c r="S25" s="6"/>
      <c r="T25" s="6"/>
      <c r="U25" s="6"/>
      <c r="V25" s="6"/>
      <c r="W25" s="7"/>
      <c r="X25" s="6"/>
      <c r="Y25" s="6"/>
      <c r="Z25" s="6"/>
      <c r="AA25" s="88"/>
      <c r="AB25" s="6"/>
      <c r="AC25" s="6"/>
      <c r="AD25" s="6"/>
      <c r="AE25" s="6"/>
      <c r="AF25" s="6"/>
      <c r="AG25" s="6"/>
    </row>
    <row r="26" ht="15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7"/>
      <c r="S26" s="6"/>
      <c r="T26" s="6"/>
      <c r="U26" s="6"/>
      <c r="V26" s="6"/>
      <c r="W26" s="7"/>
      <c r="X26" s="6"/>
      <c r="Y26" s="6"/>
      <c r="Z26" s="6"/>
      <c r="AA26" s="88"/>
      <c r="AB26" s="6"/>
      <c r="AC26" s="6"/>
      <c r="AD26" s="6"/>
      <c r="AE26" s="6"/>
      <c r="AF26" s="6"/>
      <c r="AG26" s="6"/>
    </row>
    <row r="27" ht="15.0" customHeight="1">
      <c r="A27" s="6"/>
      <c r="B27" s="6"/>
      <c r="C27" s="9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6"/>
      <c r="T27" s="6"/>
      <c r="U27" s="6"/>
      <c r="V27" s="6"/>
      <c r="W27" s="7"/>
      <c r="X27" s="6"/>
      <c r="Y27" s="6"/>
      <c r="Z27" s="6"/>
      <c r="AA27" s="88"/>
      <c r="AB27" s="6"/>
      <c r="AC27" s="6"/>
      <c r="AD27" s="6"/>
      <c r="AE27" s="6"/>
      <c r="AF27" s="6"/>
      <c r="AG27" s="6"/>
    </row>
    <row r="28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/>
      <c r="S28" s="6"/>
      <c r="T28" s="6"/>
      <c r="U28" s="6"/>
      <c r="V28" s="6"/>
      <c r="W28" s="7"/>
      <c r="X28" s="6"/>
      <c r="Y28" s="6"/>
      <c r="Z28" s="6"/>
      <c r="AA28" s="88"/>
      <c r="AB28" s="6"/>
      <c r="AC28" s="6"/>
      <c r="AD28" s="6"/>
      <c r="AE28" s="6"/>
      <c r="AF28" s="6"/>
      <c r="AG28" s="6"/>
    </row>
    <row r="29" ht="15.75" customHeight="1">
      <c r="A29" s="6"/>
      <c r="B29" s="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6"/>
    </row>
    <row r="30" ht="15.75" customHeight="1">
      <c r="A30" s="6"/>
      <c r="B30" s="6"/>
      <c r="C30" s="97"/>
      <c r="D30" s="97"/>
      <c r="E30" s="98"/>
      <c r="F30" s="6"/>
      <c r="G30" s="99"/>
      <c r="H30" s="6"/>
      <c r="I30" s="93"/>
      <c r="J30" s="100"/>
      <c r="K30" s="100"/>
      <c r="L30" s="100"/>
      <c r="M30" s="100"/>
      <c r="N30" s="100"/>
      <c r="O30" s="101"/>
      <c r="P30" s="88"/>
      <c r="Q30" s="88"/>
      <c r="R30" s="89"/>
      <c r="S30" s="88"/>
      <c r="T30" s="88"/>
      <c r="U30" s="88"/>
      <c r="V30" s="88"/>
      <c r="W30" s="89"/>
      <c r="X30" s="88"/>
      <c r="Y30" s="88"/>
      <c r="Z30" s="88"/>
      <c r="AA30" s="102"/>
      <c r="AB30" s="97"/>
      <c r="AC30" s="6"/>
      <c r="AD30" s="6"/>
      <c r="AE30" s="92"/>
      <c r="AF30" s="6"/>
      <c r="AG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  <c r="S31" s="6"/>
      <c r="T31" s="6"/>
      <c r="U31" s="6"/>
      <c r="V31" s="6"/>
      <c r="W31" s="7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93"/>
      <c r="R32" s="7"/>
      <c r="S32" s="93"/>
      <c r="T32" s="93"/>
      <c r="U32" s="93"/>
      <c r="V32" s="93"/>
      <c r="W32" s="7"/>
      <c r="X32" s="93"/>
      <c r="Y32" s="93"/>
      <c r="Z32" s="93"/>
      <c r="AA32" s="103"/>
      <c r="AB32" s="6"/>
      <c r="AC32" s="6"/>
      <c r="AD32" s="6"/>
      <c r="AE32" s="6"/>
      <c r="AF32" s="6"/>
      <c r="AG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  <c r="S33" s="6"/>
      <c r="T33" s="6"/>
      <c r="U33" s="6"/>
      <c r="V33" s="6"/>
      <c r="W33" s="7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7"/>
      <c r="S34" s="6"/>
      <c r="T34" s="6"/>
      <c r="U34" s="6"/>
      <c r="V34" s="6"/>
      <c r="W34" s="7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  <c r="S35" s="6"/>
      <c r="T35" s="6"/>
      <c r="U35" s="6"/>
      <c r="V35" s="6"/>
      <c r="W35" s="7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7"/>
      <c r="S36" s="6"/>
      <c r="T36" s="6"/>
      <c r="U36" s="6"/>
      <c r="V36" s="6"/>
      <c r="W36" s="7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24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  <c r="S37" s="6"/>
      <c r="T37" s="6"/>
      <c r="U37" s="6"/>
      <c r="V37" s="6"/>
      <c r="W37" s="7"/>
      <c r="X37" s="6"/>
      <c r="Y37" s="6"/>
      <c r="Z37" s="6"/>
      <c r="AA37" s="104"/>
      <c r="AB37" s="6"/>
      <c r="AC37" s="6"/>
      <c r="AD37" s="6"/>
      <c r="AE37" s="104"/>
      <c r="AF37" s="6"/>
      <c r="AG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100"/>
      <c r="L38" s="100"/>
      <c r="M38" s="100"/>
      <c r="N38" s="78"/>
      <c r="O38" s="78"/>
      <c r="P38" s="100"/>
      <c r="Q38" s="88"/>
      <c r="R38" s="89"/>
      <c r="S38" s="88"/>
      <c r="T38" s="88"/>
      <c r="U38" s="88"/>
      <c r="V38" s="88"/>
      <c r="W38" s="89"/>
      <c r="X38" s="88"/>
      <c r="Y38" s="88"/>
      <c r="Z38" s="88"/>
      <c r="AA38" s="105"/>
      <c r="AB38" s="6"/>
      <c r="AC38" s="6"/>
      <c r="AD38" s="6"/>
      <c r="AE38" s="92"/>
      <c r="AF38" s="6"/>
      <c r="AG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88"/>
      <c r="R39" s="89"/>
      <c r="S39" s="88"/>
      <c r="T39" s="88"/>
      <c r="U39" s="88"/>
      <c r="V39" s="88"/>
      <c r="W39" s="89"/>
      <c r="X39" s="88"/>
      <c r="Y39" s="88"/>
      <c r="Z39" s="88"/>
      <c r="AA39" s="88"/>
      <c r="AB39" s="6"/>
      <c r="AC39" s="6"/>
      <c r="AD39" s="6"/>
      <c r="AE39" s="92"/>
      <c r="AF39" s="6"/>
      <c r="AG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6"/>
      <c r="T40" s="6"/>
      <c r="U40" s="6"/>
      <c r="V40" s="6"/>
      <c r="W40" s="7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7"/>
      <c r="S41" s="6"/>
      <c r="T41" s="6"/>
      <c r="U41" s="6"/>
      <c r="V41" s="6"/>
      <c r="W41" s="7"/>
      <c r="X41" s="6"/>
      <c r="Y41" s="6"/>
      <c r="Z41" s="6"/>
      <c r="AA41" s="104"/>
      <c r="AB41" s="6"/>
      <c r="AC41" s="6"/>
      <c r="AD41" s="6"/>
      <c r="AE41" s="104"/>
      <c r="AF41" s="6"/>
      <c r="AG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  <c r="S42" s="6"/>
      <c r="T42" s="6"/>
      <c r="U42" s="6"/>
      <c r="V42" s="6"/>
      <c r="W42" s="7"/>
      <c r="X42" s="6"/>
      <c r="Y42" s="6"/>
      <c r="Z42" s="6"/>
      <c r="AA42" s="88"/>
      <c r="AB42" s="6"/>
      <c r="AC42" s="6"/>
      <c r="AD42" s="91"/>
      <c r="AE42" s="92"/>
      <c r="AF42" s="6"/>
      <c r="AG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7"/>
      <c r="S43" s="6"/>
      <c r="T43" s="6"/>
      <c r="U43" s="6"/>
      <c r="V43" s="6"/>
      <c r="W43" s="7"/>
      <c r="X43" s="6"/>
      <c r="Y43" s="6"/>
      <c r="Z43" s="6"/>
      <c r="AA43" s="6"/>
      <c r="AB43" s="6"/>
      <c r="AC43" s="6"/>
      <c r="AD43" s="91"/>
      <c r="AE43" s="6"/>
      <c r="AF43" s="6"/>
      <c r="AG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  <c r="S44" s="6"/>
      <c r="T44" s="6"/>
      <c r="U44" s="6"/>
      <c r="V44" s="6"/>
      <c r="W44" s="7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  <c r="S45" s="6"/>
      <c r="T45" s="6"/>
      <c r="U45" s="6"/>
      <c r="V45" s="6"/>
      <c r="W45" s="7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7"/>
      <c r="S46" s="6"/>
      <c r="T46" s="6"/>
      <c r="U46" s="6"/>
      <c r="V46" s="6"/>
      <c r="W46" s="7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7"/>
      <c r="S47" s="6"/>
      <c r="T47" s="6"/>
      <c r="U47" s="6"/>
      <c r="V47" s="6"/>
      <c r="W47" s="7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6"/>
      <c r="T48" s="6"/>
      <c r="U48" s="6"/>
      <c r="V48" s="6"/>
      <c r="W48" s="7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7"/>
      <c r="S49" s="6"/>
      <c r="T49" s="6"/>
      <c r="U49" s="6"/>
      <c r="V49" s="6"/>
      <c r="W49" s="7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  <c r="S50" s="6"/>
      <c r="T50" s="6"/>
      <c r="U50" s="6"/>
      <c r="V50" s="6"/>
      <c r="W50" s="7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6"/>
      <c r="T51" s="6"/>
      <c r="U51" s="6"/>
      <c r="V51" s="6"/>
      <c r="W51" s="7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7"/>
      <c r="S52" s="6"/>
      <c r="T52" s="6"/>
      <c r="U52" s="6"/>
      <c r="V52" s="6"/>
      <c r="W52" s="7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7"/>
      <c r="S53" s="6"/>
      <c r="T53" s="6"/>
      <c r="U53" s="6"/>
      <c r="V53" s="6"/>
      <c r="W53" s="7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7"/>
      <c r="S54" s="6"/>
      <c r="T54" s="6"/>
      <c r="U54" s="6"/>
      <c r="V54" s="6"/>
      <c r="W54" s="7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  <c r="S55" s="6"/>
      <c r="T55" s="6"/>
      <c r="U55" s="6"/>
      <c r="V55" s="6"/>
      <c r="W55" s="7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7"/>
      <c r="S56" s="6"/>
      <c r="T56" s="6"/>
      <c r="U56" s="6"/>
      <c r="V56" s="6"/>
      <c r="W56" s="7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  <c r="S57" s="6"/>
      <c r="T57" s="6"/>
      <c r="U57" s="6"/>
      <c r="V57" s="6"/>
      <c r="W57" s="7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  <c r="S58" s="6"/>
      <c r="T58" s="6"/>
      <c r="U58" s="6"/>
      <c r="V58" s="6"/>
      <c r="W58" s="7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7"/>
      <c r="S59" s="6"/>
      <c r="T59" s="6"/>
      <c r="U59" s="6"/>
      <c r="V59" s="6"/>
      <c r="W59" s="7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  <c r="S60" s="6"/>
      <c r="T60" s="6"/>
      <c r="U60" s="6"/>
      <c r="V60" s="6"/>
      <c r="W60" s="7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  <c r="S61" s="6"/>
      <c r="T61" s="6"/>
      <c r="U61" s="6"/>
      <c r="V61" s="6"/>
      <c r="W61" s="7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  <c r="S62" s="6"/>
      <c r="T62" s="6"/>
      <c r="U62" s="6"/>
      <c r="V62" s="6"/>
      <c r="W62" s="7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  <c r="S63" s="6"/>
      <c r="T63" s="6"/>
      <c r="U63" s="6"/>
      <c r="V63" s="6"/>
      <c r="W63" s="7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  <c r="S64" s="6"/>
      <c r="T64" s="6"/>
      <c r="U64" s="6"/>
      <c r="V64" s="6"/>
      <c r="W64" s="7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  <c r="S65" s="6"/>
      <c r="T65" s="6"/>
      <c r="U65" s="6"/>
      <c r="V65" s="6"/>
      <c r="W65" s="7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  <c r="S66" s="6"/>
      <c r="T66" s="6"/>
      <c r="U66" s="6"/>
      <c r="V66" s="6"/>
      <c r="W66" s="7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7"/>
      <c r="S67" s="6"/>
      <c r="T67" s="6"/>
      <c r="U67" s="6"/>
      <c r="V67" s="6"/>
      <c r="W67" s="7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  <c r="S68" s="6"/>
      <c r="T68" s="6"/>
      <c r="U68" s="6"/>
      <c r="V68" s="6"/>
      <c r="W68" s="7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  <c r="S69" s="6"/>
      <c r="T69" s="6"/>
      <c r="U69" s="6"/>
      <c r="V69" s="6"/>
      <c r="W69" s="7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"/>
      <c r="S70" s="6"/>
      <c r="T70" s="6"/>
      <c r="U70" s="6"/>
      <c r="V70" s="6"/>
      <c r="W70" s="7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7"/>
      <c r="S71" s="6"/>
      <c r="T71" s="6"/>
      <c r="U71" s="6"/>
      <c r="V71" s="6"/>
      <c r="W71" s="7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  <c r="S72" s="6"/>
      <c r="T72" s="6"/>
      <c r="U72" s="6"/>
      <c r="V72" s="6"/>
      <c r="W72" s="7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  <c r="S73" s="6"/>
      <c r="T73" s="6"/>
      <c r="U73" s="6"/>
      <c r="V73" s="6"/>
      <c r="W73" s="7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  <c r="S74" s="6"/>
      <c r="T74" s="6"/>
      <c r="U74" s="6"/>
      <c r="V74" s="6"/>
      <c r="W74" s="7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  <c r="S75" s="6"/>
      <c r="T75" s="6"/>
      <c r="U75" s="6"/>
      <c r="V75" s="6"/>
      <c r="W75" s="7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  <c r="S76" s="6"/>
      <c r="T76" s="6"/>
      <c r="U76" s="6"/>
      <c r="V76" s="6"/>
      <c r="W76" s="7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  <c r="S77" s="6"/>
      <c r="T77" s="6"/>
      <c r="U77" s="6"/>
      <c r="V77" s="6"/>
      <c r="W77" s="7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7"/>
      <c r="S78" s="6"/>
      <c r="T78" s="6"/>
      <c r="U78" s="6"/>
      <c r="V78" s="6"/>
      <c r="W78" s="7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7"/>
      <c r="S79" s="6"/>
      <c r="T79" s="6"/>
      <c r="U79" s="6"/>
      <c r="V79" s="6"/>
      <c r="W79" s="7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7"/>
      <c r="S80" s="6"/>
      <c r="T80" s="6"/>
      <c r="U80" s="6"/>
      <c r="V80" s="6"/>
      <c r="W80" s="7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7"/>
      <c r="S81" s="6"/>
      <c r="T81" s="6"/>
      <c r="U81" s="6"/>
      <c r="V81" s="6"/>
      <c r="W81" s="7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7"/>
      <c r="S82" s="6"/>
      <c r="T82" s="6"/>
      <c r="U82" s="6"/>
      <c r="V82" s="6"/>
      <c r="W82" s="7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7"/>
      <c r="S83" s="6"/>
      <c r="T83" s="6"/>
      <c r="U83" s="6"/>
      <c r="V83" s="6"/>
      <c r="W83" s="7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  <c r="S84" s="6"/>
      <c r="T84" s="6"/>
      <c r="U84" s="6"/>
      <c r="V84" s="6"/>
      <c r="W84" s="7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7"/>
      <c r="S85" s="6"/>
      <c r="T85" s="6"/>
      <c r="U85" s="6"/>
      <c r="V85" s="6"/>
      <c r="W85" s="7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  <c r="S86" s="6"/>
      <c r="T86" s="6"/>
      <c r="U86" s="6"/>
      <c r="V86" s="6"/>
      <c r="W86" s="7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  <c r="S87" s="6"/>
      <c r="T87" s="6"/>
      <c r="U87" s="6"/>
      <c r="V87" s="6"/>
      <c r="W87" s="7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  <c r="S88" s="6"/>
      <c r="T88" s="6"/>
      <c r="U88" s="6"/>
      <c r="V88" s="6"/>
      <c r="W88" s="7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7"/>
      <c r="S89" s="6"/>
      <c r="T89" s="6"/>
      <c r="U89" s="6"/>
      <c r="V89" s="6"/>
      <c r="W89" s="7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  <c r="S90" s="6"/>
      <c r="T90" s="6"/>
      <c r="U90" s="6"/>
      <c r="V90" s="6"/>
      <c r="W90" s="7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7"/>
      <c r="S91" s="6"/>
      <c r="T91" s="6"/>
      <c r="U91" s="6"/>
      <c r="V91" s="6"/>
      <c r="W91" s="7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  <c r="S92" s="6"/>
      <c r="T92" s="6"/>
      <c r="U92" s="6"/>
      <c r="V92" s="6"/>
      <c r="W92" s="7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7"/>
      <c r="S93" s="6"/>
      <c r="T93" s="6"/>
      <c r="U93" s="6"/>
      <c r="V93" s="6"/>
      <c r="W93" s="7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7"/>
      <c r="S94" s="6"/>
      <c r="T94" s="6"/>
      <c r="U94" s="6"/>
      <c r="V94" s="6"/>
      <c r="W94" s="7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7"/>
      <c r="S95" s="6"/>
      <c r="T95" s="6"/>
      <c r="U95" s="6"/>
      <c r="V95" s="6"/>
      <c r="W95" s="7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  <c r="S96" s="6"/>
      <c r="T96" s="6"/>
      <c r="U96" s="6"/>
      <c r="V96" s="6"/>
      <c r="W96" s="7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  <c r="S97" s="6"/>
      <c r="T97" s="6"/>
      <c r="U97" s="6"/>
      <c r="V97" s="6"/>
      <c r="W97" s="7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  <c r="S98" s="6"/>
      <c r="T98" s="6"/>
      <c r="U98" s="6"/>
      <c r="V98" s="6"/>
      <c r="W98" s="7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7"/>
      <c r="S99" s="6"/>
      <c r="T99" s="6"/>
      <c r="U99" s="6"/>
      <c r="V99" s="6"/>
      <c r="W99" s="7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  <c r="S100" s="6"/>
      <c r="T100" s="6"/>
      <c r="U100" s="6"/>
      <c r="V100" s="6"/>
      <c r="W100" s="7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/>
      <c r="S101" s="6"/>
      <c r="T101" s="6"/>
      <c r="U101" s="6"/>
      <c r="V101" s="6"/>
      <c r="W101" s="7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/>
      <c r="S102" s="6"/>
      <c r="T102" s="6"/>
      <c r="U102" s="6"/>
      <c r="V102" s="6"/>
      <c r="W102" s="7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7"/>
      <c r="S103" s="6"/>
      <c r="T103" s="6"/>
      <c r="U103" s="6"/>
      <c r="V103" s="6"/>
      <c r="W103" s="7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/>
      <c r="S104" s="6"/>
      <c r="T104" s="6"/>
      <c r="U104" s="6"/>
      <c r="V104" s="6"/>
      <c r="W104" s="7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  <c r="S105" s="6"/>
      <c r="T105" s="6"/>
      <c r="U105" s="6"/>
      <c r="V105" s="6"/>
      <c r="W105" s="7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  <c r="S106" s="6"/>
      <c r="T106" s="6"/>
      <c r="U106" s="6"/>
      <c r="V106" s="6"/>
      <c r="W106" s="7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  <c r="S107" s="6"/>
      <c r="T107" s="6"/>
      <c r="U107" s="6"/>
      <c r="V107" s="6"/>
      <c r="W107" s="7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  <c r="S108" s="6"/>
      <c r="T108" s="6"/>
      <c r="U108" s="6"/>
      <c r="V108" s="6"/>
      <c r="W108" s="7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7"/>
      <c r="S109" s="6"/>
      <c r="T109" s="6"/>
      <c r="U109" s="6"/>
      <c r="V109" s="6"/>
      <c r="W109" s="7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/>
      <c r="S110" s="6"/>
      <c r="T110" s="6"/>
      <c r="U110" s="6"/>
      <c r="V110" s="6"/>
      <c r="W110" s="7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7"/>
      <c r="S111" s="6"/>
      <c r="T111" s="6"/>
      <c r="U111" s="6"/>
      <c r="V111" s="6"/>
      <c r="W111" s="7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7"/>
      <c r="S112" s="6"/>
      <c r="T112" s="6"/>
      <c r="U112" s="6"/>
      <c r="V112" s="6"/>
      <c r="W112" s="7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7"/>
      <c r="S113" s="6"/>
      <c r="T113" s="6"/>
      <c r="U113" s="6"/>
      <c r="V113" s="6"/>
      <c r="W113" s="7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7"/>
      <c r="S114" s="6"/>
      <c r="T114" s="6"/>
      <c r="U114" s="6"/>
      <c r="V114" s="6"/>
      <c r="W114" s="7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7"/>
      <c r="S115" s="6"/>
      <c r="T115" s="6"/>
      <c r="U115" s="6"/>
      <c r="V115" s="6"/>
      <c r="W115" s="7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  <c r="S116" s="6"/>
      <c r="T116" s="6"/>
      <c r="U116" s="6"/>
      <c r="V116" s="6"/>
      <c r="W116" s="7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7"/>
      <c r="S117" s="6"/>
      <c r="T117" s="6"/>
      <c r="U117" s="6"/>
      <c r="V117" s="6"/>
      <c r="W117" s="7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7"/>
      <c r="S118" s="6"/>
      <c r="T118" s="6"/>
      <c r="U118" s="6"/>
      <c r="V118" s="6"/>
      <c r="W118" s="7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7"/>
      <c r="S119" s="6"/>
      <c r="T119" s="6"/>
      <c r="U119" s="6"/>
      <c r="V119" s="6"/>
      <c r="W119" s="7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7"/>
      <c r="S120" s="6"/>
      <c r="T120" s="6"/>
      <c r="U120" s="6"/>
      <c r="V120" s="6"/>
      <c r="W120" s="7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/>
      <c r="S121" s="6"/>
      <c r="T121" s="6"/>
      <c r="U121" s="6"/>
      <c r="V121" s="6"/>
      <c r="W121" s="7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/>
      <c r="S122" s="6"/>
      <c r="T122" s="6"/>
      <c r="U122" s="6"/>
      <c r="V122" s="6"/>
      <c r="W122" s="7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/>
      <c r="S123" s="6"/>
      <c r="T123" s="6"/>
      <c r="U123" s="6"/>
      <c r="V123" s="6"/>
      <c r="W123" s="7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  <c r="S124" s="6"/>
      <c r="T124" s="6"/>
      <c r="U124" s="6"/>
      <c r="V124" s="6"/>
      <c r="W124" s="7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  <c r="S125" s="6"/>
      <c r="T125" s="6"/>
      <c r="U125" s="6"/>
      <c r="V125" s="6"/>
      <c r="W125" s="7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  <c r="S126" s="6"/>
      <c r="T126" s="6"/>
      <c r="U126" s="6"/>
      <c r="V126" s="6"/>
      <c r="W126" s="7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  <c r="S127" s="6"/>
      <c r="T127" s="6"/>
      <c r="U127" s="6"/>
      <c r="V127" s="6"/>
      <c r="W127" s="7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  <c r="S128" s="6"/>
      <c r="T128" s="6"/>
      <c r="U128" s="6"/>
      <c r="V128" s="6"/>
      <c r="W128" s="7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  <c r="S129" s="6"/>
      <c r="T129" s="6"/>
      <c r="U129" s="6"/>
      <c r="V129" s="6"/>
      <c r="W129" s="7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  <c r="S130" s="6"/>
      <c r="T130" s="6"/>
      <c r="U130" s="6"/>
      <c r="V130" s="6"/>
      <c r="W130" s="7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  <c r="S131" s="6"/>
      <c r="T131" s="6"/>
      <c r="U131" s="6"/>
      <c r="V131" s="6"/>
      <c r="W131" s="7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  <c r="S132" s="6"/>
      <c r="T132" s="6"/>
      <c r="U132" s="6"/>
      <c r="V132" s="6"/>
      <c r="W132" s="7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  <c r="S133" s="6"/>
      <c r="T133" s="6"/>
      <c r="U133" s="6"/>
      <c r="V133" s="6"/>
      <c r="W133" s="7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  <c r="S134" s="6"/>
      <c r="T134" s="6"/>
      <c r="U134" s="6"/>
      <c r="V134" s="6"/>
      <c r="W134" s="7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  <c r="S135" s="6"/>
      <c r="T135" s="6"/>
      <c r="U135" s="6"/>
      <c r="V135" s="6"/>
      <c r="W135" s="7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7"/>
      <c r="S136" s="6"/>
      <c r="T136" s="6"/>
      <c r="U136" s="6"/>
      <c r="V136" s="6"/>
      <c r="W136" s="7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  <c r="S137" s="6"/>
      <c r="T137" s="6"/>
      <c r="U137" s="6"/>
      <c r="V137" s="6"/>
      <c r="W137" s="7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  <c r="S138" s="6"/>
      <c r="T138" s="6"/>
      <c r="U138" s="6"/>
      <c r="V138" s="6"/>
      <c r="W138" s="7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7"/>
      <c r="S139" s="6"/>
      <c r="T139" s="6"/>
      <c r="U139" s="6"/>
      <c r="V139" s="6"/>
      <c r="W139" s="7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  <c r="S140" s="6"/>
      <c r="T140" s="6"/>
      <c r="U140" s="6"/>
      <c r="V140" s="6"/>
      <c r="W140" s="7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/>
      <c r="S141" s="6"/>
      <c r="T141" s="6"/>
      <c r="U141" s="6"/>
      <c r="V141" s="6"/>
      <c r="W141" s="7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7"/>
      <c r="S142" s="6"/>
      <c r="T142" s="6"/>
      <c r="U142" s="6"/>
      <c r="V142" s="6"/>
      <c r="W142" s="7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/>
      <c r="S143" s="6"/>
      <c r="T143" s="6"/>
      <c r="U143" s="6"/>
      <c r="V143" s="6"/>
      <c r="W143" s="7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  <c r="S144" s="6"/>
      <c r="T144" s="6"/>
      <c r="U144" s="6"/>
      <c r="V144" s="6"/>
      <c r="W144" s="7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7"/>
      <c r="S145" s="6"/>
      <c r="T145" s="6"/>
      <c r="U145" s="6"/>
      <c r="V145" s="6"/>
      <c r="W145" s="7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7"/>
      <c r="S146" s="6"/>
      <c r="T146" s="6"/>
      <c r="U146" s="6"/>
      <c r="V146" s="6"/>
      <c r="W146" s="7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7"/>
      <c r="S147" s="6"/>
      <c r="T147" s="6"/>
      <c r="U147" s="6"/>
      <c r="V147" s="6"/>
      <c r="W147" s="7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7"/>
      <c r="S148" s="6"/>
      <c r="T148" s="6"/>
      <c r="U148" s="6"/>
      <c r="V148" s="6"/>
      <c r="W148" s="7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7"/>
      <c r="S149" s="6"/>
      <c r="T149" s="6"/>
      <c r="U149" s="6"/>
      <c r="V149" s="6"/>
      <c r="W149" s="7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7"/>
      <c r="S150" s="6"/>
      <c r="T150" s="6"/>
      <c r="U150" s="6"/>
      <c r="V150" s="6"/>
      <c r="W150" s="7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/>
      <c r="S151" s="6"/>
      <c r="T151" s="6"/>
      <c r="U151" s="6"/>
      <c r="V151" s="6"/>
      <c r="W151" s="7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7"/>
      <c r="S152" s="6"/>
      <c r="T152" s="6"/>
      <c r="U152" s="6"/>
      <c r="V152" s="6"/>
      <c r="W152" s="7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7"/>
      <c r="S153" s="6"/>
      <c r="T153" s="6"/>
      <c r="U153" s="6"/>
      <c r="V153" s="6"/>
      <c r="W153" s="7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/>
      <c r="S154" s="6"/>
      <c r="T154" s="6"/>
      <c r="U154" s="6"/>
      <c r="V154" s="6"/>
      <c r="W154" s="7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7"/>
      <c r="S155" s="6"/>
      <c r="T155" s="6"/>
      <c r="U155" s="6"/>
      <c r="V155" s="6"/>
      <c r="W155" s="7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7"/>
      <c r="S156" s="6"/>
      <c r="T156" s="6"/>
      <c r="U156" s="6"/>
      <c r="V156" s="6"/>
      <c r="W156" s="7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7"/>
      <c r="S157" s="6"/>
      <c r="T157" s="6"/>
      <c r="U157" s="6"/>
      <c r="V157" s="6"/>
      <c r="W157" s="7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/>
      <c r="S158" s="6"/>
      <c r="T158" s="6"/>
      <c r="U158" s="6"/>
      <c r="V158" s="6"/>
      <c r="W158" s="7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/>
      <c r="S159" s="6"/>
      <c r="T159" s="6"/>
      <c r="U159" s="6"/>
      <c r="V159" s="6"/>
      <c r="W159" s="7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7"/>
      <c r="S160" s="6"/>
      <c r="T160" s="6"/>
      <c r="U160" s="6"/>
      <c r="V160" s="6"/>
      <c r="W160" s="7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/>
      <c r="S161" s="6"/>
      <c r="T161" s="6"/>
      <c r="U161" s="6"/>
      <c r="V161" s="6"/>
      <c r="W161" s="7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/>
      <c r="S162" s="6"/>
      <c r="T162" s="6"/>
      <c r="U162" s="6"/>
      <c r="V162" s="6"/>
      <c r="W162" s="7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/>
      <c r="S163" s="6"/>
      <c r="T163" s="6"/>
      <c r="U163" s="6"/>
      <c r="V163" s="6"/>
      <c r="W163" s="7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/>
      <c r="S164" s="6"/>
      <c r="T164" s="6"/>
      <c r="U164" s="6"/>
      <c r="V164" s="6"/>
      <c r="W164" s="7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/>
      <c r="S165" s="6"/>
      <c r="T165" s="6"/>
      <c r="U165" s="6"/>
      <c r="V165" s="6"/>
      <c r="W165" s="7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7"/>
      <c r="S166" s="6"/>
      <c r="T166" s="6"/>
      <c r="U166" s="6"/>
      <c r="V166" s="6"/>
      <c r="W166" s="7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7"/>
      <c r="S167" s="6"/>
      <c r="T167" s="6"/>
      <c r="U167" s="6"/>
      <c r="V167" s="6"/>
      <c r="W167" s="7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7"/>
      <c r="S168" s="6"/>
      <c r="T168" s="6"/>
      <c r="U168" s="6"/>
      <c r="V168" s="6"/>
      <c r="W168" s="7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7"/>
      <c r="S169" s="6"/>
      <c r="T169" s="6"/>
      <c r="U169" s="6"/>
      <c r="V169" s="6"/>
      <c r="W169" s="7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7"/>
      <c r="S170" s="6"/>
      <c r="T170" s="6"/>
      <c r="U170" s="6"/>
      <c r="V170" s="6"/>
      <c r="W170" s="7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7"/>
      <c r="S171" s="6"/>
      <c r="T171" s="6"/>
      <c r="U171" s="6"/>
      <c r="V171" s="6"/>
      <c r="W171" s="7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7"/>
      <c r="S172" s="6"/>
      <c r="T172" s="6"/>
      <c r="U172" s="6"/>
      <c r="V172" s="6"/>
      <c r="W172" s="7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7"/>
      <c r="S173" s="6"/>
      <c r="T173" s="6"/>
      <c r="U173" s="6"/>
      <c r="V173" s="6"/>
      <c r="W173" s="7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7"/>
      <c r="S174" s="6"/>
      <c r="T174" s="6"/>
      <c r="U174" s="6"/>
      <c r="V174" s="6"/>
      <c r="W174" s="7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7"/>
      <c r="S175" s="6"/>
      <c r="T175" s="6"/>
      <c r="U175" s="6"/>
      <c r="V175" s="6"/>
      <c r="W175" s="7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7"/>
      <c r="S176" s="6"/>
      <c r="T176" s="6"/>
      <c r="U176" s="6"/>
      <c r="V176" s="6"/>
      <c r="W176" s="7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7"/>
      <c r="S177" s="6"/>
      <c r="T177" s="6"/>
      <c r="U177" s="6"/>
      <c r="V177" s="6"/>
      <c r="W177" s="7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7"/>
      <c r="S178" s="6"/>
      <c r="T178" s="6"/>
      <c r="U178" s="6"/>
      <c r="V178" s="6"/>
      <c r="W178" s="7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7"/>
      <c r="S179" s="6"/>
      <c r="T179" s="6"/>
      <c r="U179" s="6"/>
      <c r="V179" s="6"/>
      <c r="W179" s="7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/>
      <c r="S180" s="6"/>
      <c r="T180" s="6"/>
      <c r="U180" s="6"/>
      <c r="V180" s="6"/>
      <c r="W180" s="7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7"/>
      <c r="S181" s="6"/>
      <c r="T181" s="6"/>
      <c r="U181" s="6"/>
      <c r="V181" s="6"/>
      <c r="W181" s="7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/>
      <c r="S182" s="6"/>
      <c r="T182" s="6"/>
      <c r="U182" s="6"/>
      <c r="V182" s="6"/>
      <c r="W182" s="7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/>
      <c r="S183" s="6"/>
      <c r="T183" s="6"/>
      <c r="U183" s="6"/>
      <c r="V183" s="6"/>
      <c r="W183" s="7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/>
      <c r="S184" s="6"/>
      <c r="T184" s="6"/>
      <c r="U184" s="6"/>
      <c r="V184" s="6"/>
      <c r="W184" s="7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/>
      <c r="S185" s="6"/>
      <c r="T185" s="6"/>
      <c r="U185" s="6"/>
      <c r="V185" s="6"/>
      <c r="W185" s="7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7"/>
      <c r="S186" s="6"/>
      <c r="T186" s="6"/>
      <c r="U186" s="6"/>
      <c r="V186" s="6"/>
      <c r="W186" s="7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7"/>
      <c r="S187" s="6"/>
      <c r="T187" s="6"/>
      <c r="U187" s="6"/>
      <c r="V187" s="6"/>
      <c r="W187" s="7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/>
      <c r="S188" s="6"/>
      <c r="T188" s="6"/>
      <c r="U188" s="6"/>
      <c r="V188" s="6"/>
      <c r="W188" s="7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7"/>
      <c r="S189" s="6"/>
      <c r="T189" s="6"/>
      <c r="U189" s="6"/>
      <c r="V189" s="6"/>
      <c r="W189" s="7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7"/>
      <c r="S190" s="6"/>
      <c r="T190" s="6"/>
      <c r="U190" s="6"/>
      <c r="V190" s="6"/>
      <c r="W190" s="7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7"/>
      <c r="S191" s="6"/>
      <c r="T191" s="6"/>
      <c r="U191" s="6"/>
      <c r="V191" s="6"/>
      <c r="W191" s="7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7"/>
      <c r="S192" s="6"/>
      <c r="T192" s="6"/>
      <c r="U192" s="6"/>
      <c r="V192" s="6"/>
      <c r="W192" s="7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/>
      <c r="S193" s="6"/>
      <c r="T193" s="6"/>
      <c r="U193" s="6"/>
      <c r="V193" s="6"/>
      <c r="W193" s="7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/>
      <c r="S194" s="6"/>
      <c r="T194" s="6"/>
      <c r="U194" s="6"/>
      <c r="V194" s="6"/>
      <c r="W194" s="7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/>
      <c r="S195" s="6"/>
      <c r="T195" s="6"/>
      <c r="U195" s="6"/>
      <c r="V195" s="6"/>
      <c r="W195" s="7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  <c r="S196" s="6"/>
      <c r="T196" s="6"/>
      <c r="U196" s="6"/>
      <c r="V196" s="6"/>
      <c r="W196" s="7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/>
      <c r="S197" s="6"/>
      <c r="T197" s="6"/>
      <c r="U197" s="6"/>
      <c r="V197" s="6"/>
      <c r="W197" s="7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/>
      <c r="S198" s="6"/>
      <c r="T198" s="6"/>
      <c r="U198" s="6"/>
      <c r="V198" s="6"/>
      <c r="W198" s="7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/>
      <c r="S199" s="6"/>
      <c r="T199" s="6"/>
      <c r="U199" s="6"/>
      <c r="V199" s="6"/>
      <c r="W199" s="7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/>
      <c r="S200" s="6"/>
      <c r="T200" s="6"/>
      <c r="U200" s="6"/>
      <c r="V200" s="6"/>
      <c r="W200" s="7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/>
      <c r="S201" s="6"/>
      <c r="T201" s="6"/>
      <c r="U201" s="6"/>
      <c r="V201" s="6"/>
      <c r="W201" s="7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/>
      <c r="S202" s="6"/>
      <c r="T202" s="6"/>
      <c r="U202" s="6"/>
      <c r="V202" s="6"/>
      <c r="W202" s="7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/>
      <c r="S203" s="6"/>
      <c r="T203" s="6"/>
      <c r="U203" s="6"/>
      <c r="V203" s="6"/>
      <c r="W203" s="7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/>
      <c r="S204" s="6"/>
      <c r="T204" s="6"/>
      <c r="U204" s="6"/>
      <c r="V204" s="6"/>
      <c r="W204" s="7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/>
      <c r="S205" s="6"/>
      <c r="T205" s="6"/>
      <c r="U205" s="6"/>
      <c r="V205" s="6"/>
      <c r="W205" s="7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7"/>
      <c r="S206" s="6"/>
      <c r="T206" s="6"/>
      <c r="U206" s="6"/>
      <c r="V206" s="6"/>
      <c r="W206" s="7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7"/>
      <c r="S207" s="6"/>
      <c r="T207" s="6"/>
      <c r="U207" s="6"/>
      <c r="V207" s="6"/>
      <c r="W207" s="7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7"/>
      <c r="S208" s="6"/>
      <c r="T208" s="6"/>
      <c r="U208" s="6"/>
      <c r="V208" s="6"/>
      <c r="W208" s="7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/>
      <c r="S209" s="6"/>
      <c r="T209" s="6"/>
      <c r="U209" s="6"/>
      <c r="V209" s="6"/>
      <c r="W209" s="7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7"/>
      <c r="S210" s="6"/>
      <c r="T210" s="6"/>
      <c r="U210" s="6"/>
      <c r="V210" s="6"/>
      <c r="W210" s="7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/>
      <c r="S211" s="6"/>
      <c r="T211" s="6"/>
      <c r="U211" s="6"/>
      <c r="V211" s="6"/>
      <c r="W211" s="7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7"/>
      <c r="S212" s="6"/>
      <c r="T212" s="6"/>
      <c r="U212" s="6"/>
      <c r="V212" s="6"/>
      <c r="W212" s="7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7"/>
      <c r="S213" s="6"/>
      <c r="T213" s="6"/>
      <c r="U213" s="6"/>
      <c r="V213" s="6"/>
      <c r="W213" s="7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7"/>
      <c r="S214" s="6"/>
      <c r="T214" s="6"/>
      <c r="U214" s="6"/>
      <c r="V214" s="6"/>
      <c r="W214" s="7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7"/>
      <c r="S215" s="6"/>
      <c r="T215" s="6"/>
      <c r="U215" s="6"/>
      <c r="V215" s="6"/>
      <c r="W215" s="7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/>
      <c r="S216" s="6"/>
      <c r="T216" s="6"/>
      <c r="U216" s="6"/>
      <c r="V216" s="6"/>
      <c r="W216" s="7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7"/>
      <c r="S217" s="6"/>
      <c r="T217" s="6"/>
      <c r="U217" s="6"/>
      <c r="V217" s="6"/>
      <c r="W217" s="7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7"/>
      <c r="S218" s="6"/>
      <c r="T218" s="6"/>
      <c r="U218" s="6"/>
      <c r="V218" s="6"/>
      <c r="W218" s="7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7"/>
      <c r="S219" s="6"/>
      <c r="T219" s="6"/>
      <c r="U219" s="6"/>
      <c r="V219" s="6"/>
      <c r="W219" s="7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7"/>
      <c r="S220" s="6"/>
      <c r="T220" s="6"/>
      <c r="U220" s="6"/>
      <c r="V220" s="6"/>
      <c r="W220" s="7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7"/>
      <c r="S221" s="6"/>
      <c r="T221" s="6"/>
      <c r="U221" s="6"/>
      <c r="V221" s="6"/>
      <c r="W221" s="7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7"/>
      <c r="S222" s="6"/>
      <c r="T222" s="6"/>
      <c r="U222" s="6"/>
      <c r="V222" s="6"/>
      <c r="W222" s="7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/>
      <c r="S223" s="6"/>
      <c r="T223" s="6"/>
      <c r="U223" s="6"/>
      <c r="V223" s="6"/>
      <c r="W223" s="7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/>
      <c r="S224" s="6"/>
      <c r="T224" s="6"/>
      <c r="U224" s="6"/>
      <c r="V224" s="6"/>
      <c r="W224" s="7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/>
      <c r="S225" s="6"/>
      <c r="T225" s="6"/>
      <c r="U225" s="6"/>
      <c r="V225" s="6"/>
      <c r="W225" s="7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/>
      <c r="S226" s="6"/>
      <c r="T226" s="6"/>
      <c r="U226" s="6"/>
      <c r="V226" s="6"/>
      <c r="W226" s="7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7"/>
      <c r="S227" s="6"/>
      <c r="T227" s="6"/>
      <c r="U227" s="6"/>
      <c r="V227" s="6"/>
      <c r="W227" s="7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7"/>
      <c r="S228" s="6"/>
      <c r="T228" s="6"/>
      <c r="U228" s="6"/>
      <c r="V228" s="6"/>
      <c r="W228" s="7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7"/>
      <c r="S229" s="6"/>
      <c r="T229" s="6"/>
      <c r="U229" s="6"/>
      <c r="V229" s="6"/>
      <c r="W229" s="7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7"/>
      <c r="S230" s="6"/>
      <c r="T230" s="6"/>
      <c r="U230" s="6"/>
      <c r="V230" s="6"/>
      <c r="W230" s="7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7"/>
      <c r="S231" s="6"/>
      <c r="T231" s="6"/>
      <c r="U231" s="6"/>
      <c r="V231" s="6"/>
      <c r="W231" s="7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/>
      <c r="S232" s="6"/>
      <c r="T232" s="6"/>
      <c r="U232" s="6"/>
      <c r="V232" s="6"/>
      <c r="W232" s="7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7"/>
      <c r="S233" s="6"/>
      <c r="T233" s="6"/>
      <c r="U233" s="6"/>
      <c r="V233" s="6"/>
      <c r="W233" s="7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7"/>
      <c r="S234" s="6"/>
      <c r="T234" s="6"/>
      <c r="U234" s="6"/>
      <c r="V234" s="6"/>
      <c r="W234" s="7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7"/>
      <c r="S235" s="6"/>
      <c r="T235" s="6"/>
      <c r="U235" s="6"/>
      <c r="V235" s="6"/>
      <c r="W235" s="7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/>
      <c r="S236" s="6"/>
      <c r="T236" s="6"/>
      <c r="U236" s="6"/>
      <c r="V236" s="6"/>
      <c r="W236" s="7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7"/>
      <c r="S237" s="6"/>
      <c r="T237" s="6"/>
      <c r="U237" s="6"/>
      <c r="V237" s="6"/>
      <c r="W237" s="7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7"/>
      <c r="S238" s="6"/>
      <c r="T238" s="6"/>
      <c r="U238" s="6"/>
      <c r="V238" s="6"/>
      <c r="W238" s="7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7"/>
      <c r="S239" s="6"/>
      <c r="T239" s="6"/>
      <c r="U239" s="6"/>
      <c r="V239" s="6"/>
      <c r="W239" s="7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/>
      <c r="S240" s="6"/>
      <c r="T240" s="6"/>
      <c r="U240" s="6"/>
      <c r="V240" s="6"/>
      <c r="W240" s="7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7"/>
      <c r="S241" s="6"/>
      <c r="T241" s="6"/>
      <c r="U241" s="6"/>
      <c r="V241" s="6"/>
      <c r="W241" s="7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7"/>
      <c r="S242" s="6"/>
      <c r="T242" s="6"/>
      <c r="U242" s="6"/>
      <c r="V242" s="6"/>
      <c r="W242" s="7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7"/>
      <c r="S243" s="6"/>
      <c r="T243" s="6"/>
      <c r="U243" s="6"/>
      <c r="V243" s="6"/>
      <c r="W243" s="7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/>
      <c r="S244" s="6"/>
      <c r="T244" s="6"/>
      <c r="U244" s="6"/>
      <c r="V244" s="6"/>
      <c r="W244" s="7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/>
      <c r="S245" s="6"/>
      <c r="T245" s="6"/>
      <c r="U245" s="6"/>
      <c r="V245" s="6"/>
      <c r="W245" s="7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/>
      <c r="S246" s="6"/>
      <c r="T246" s="6"/>
      <c r="U246" s="6"/>
      <c r="V246" s="6"/>
      <c r="W246" s="7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7"/>
      <c r="S247" s="6"/>
      <c r="T247" s="6"/>
      <c r="U247" s="6"/>
      <c r="V247" s="6"/>
      <c r="W247" s="7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/>
      <c r="S248" s="6"/>
      <c r="T248" s="6"/>
      <c r="U248" s="6"/>
      <c r="V248" s="6"/>
      <c r="W248" s="7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/>
      <c r="S249" s="6"/>
      <c r="T249" s="6"/>
      <c r="U249" s="6"/>
      <c r="V249" s="6"/>
      <c r="W249" s="7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/>
      <c r="S250" s="6"/>
      <c r="T250" s="6"/>
      <c r="U250" s="6"/>
      <c r="V250" s="6"/>
      <c r="W250" s="7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/>
      <c r="S251" s="6"/>
      <c r="T251" s="6"/>
      <c r="U251" s="6"/>
      <c r="V251" s="6"/>
      <c r="W251" s="7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7"/>
      <c r="S252" s="6"/>
      <c r="T252" s="6"/>
      <c r="U252" s="6"/>
      <c r="V252" s="6"/>
      <c r="W252" s="7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/>
      <c r="S253" s="6"/>
      <c r="T253" s="6"/>
      <c r="U253" s="6"/>
      <c r="V253" s="6"/>
      <c r="W253" s="7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7"/>
      <c r="S254" s="6"/>
      <c r="T254" s="6"/>
      <c r="U254" s="6"/>
      <c r="V254" s="6"/>
      <c r="W254" s="7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7"/>
      <c r="S255" s="6"/>
      <c r="T255" s="6"/>
      <c r="U255" s="6"/>
      <c r="V255" s="6"/>
      <c r="W255" s="7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/>
      <c r="S256" s="6"/>
      <c r="T256" s="6"/>
      <c r="U256" s="6"/>
      <c r="V256" s="6"/>
      <c r="W256" s="7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/>
      <c r="S257" s="6"/>
      <c r="T257" s="6"/>
      <c r="U257" s="6"/>
      <c r="V257" s="6"/>
      <c r="W257" s="7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/>
      <c r="S258" s="6"/>
      <c r="T258" s="6"/>
      <c r="U258" s="6"/>
      <c r="V258" s="6"/>
      <c r="W258" s="7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/>
      <c r="S259" s="6"/>
      <c r="T259" s="6"/>
      <c r="U259" s="6"/>
      <c r="V259" s="6"/>
      <c r="W259" s="7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/>
      <c r="S260" s="6"/>
      <c r="T260" s="6"/>
      <c r="U260" s="6"/>
      <c r="V260" s="6"/>
      <c r="W260" s="7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/>
      <c r="S261" s="6"/>
      <c r="T261" s="6"/>
      <c r="U261" s="6"/>
      <c r="V261" s="6"/>
      <c r="W261" s="7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/>
      <c r="S262" s="6"/>
      <c r="T262" s="6"/>
      <c r="U262" s="6"/>
      <c r="V262" s="6"/>
      <c r="W262" s="7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/>
      <c r="S263" s="6"/>
      <c r="T263" s="6"/>
      <c r="U263" s="6"/>
      <c r="V263" s="6"/>
      <c r="W263" s="7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/>
      <c r="S264" s="6"/>
      <c r="T264" s="6"/>
      <c r="U264" s="6"/>
      <c r="V264" s="6"/>
      <c r="W264" s="7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/>
      <c r="S265" s="6"/>
      <c r="T265" s="6"/>
      <c r="U265" s="6"/>
      <c r="V265" s="6"/>
      <c r="W265" s="7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/>
      <c r="S266" s="6"/>
      <c r="T266" s="6"/>
      <c r="U266" s="6"/>
      <c r="V266" s="6"/>
      <c r="W266" s="7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/>
      <c r="S267" s="6"/>
      <c r="T267" s="6"/>
      <c r="U267" s="6"/>
      <c r="V267" s="6"/>
      <c r="W267" s="7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/>
      <c r="S268" s="6"/>
      <c r="T268" s="6"/>
      <c r="U268" s="6"/>
      <c r="V268" s="6"/>
      <c r="W268" s="7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/>
      <c r="S269" s="6"/>
      <c r="T269" s="6"/>
      <c r="U269" s="6"/>
      <c r="V269" s="6"/>
      <c r="W269" s="7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/>
      <c r="S270" s="6"/>
      <c r="T270" s="6"/>
      <c r="U270" s="6"/>
      <c r="V270" s="6"/>
      <c r="W270" s="7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/>
      <c r="S271" s="6"/>
      <c r="T271" s="6"/>
      <c r="U271" s="6"/>
      <c r="V271" s="6"/>
      <c r="W271" s="7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/>
      <c r="S272" s="6"/>
      <c r="T272" s="6"/>
      <c r="U272" s="6"/>
      <c r="V272" s="6"/>
      <c r="W272" s="7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/>
      <c r="S273" s="6"/>
      <c r="T273" s="6"/>
      <c r="U273" s="6"/>
      <c r="V273" s="6"/>
      <c r="W273" s="7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/>
      <c r="S274" s="6"/>
      <c r="T274" s="6"/>
      <c r="U274" s="6"/>
      <c r="V274" s="6"/>
      <c r="W274" s="7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/>
      <c r="S275" s="6"/>
      <c r="T275" s="6"/>
      <c r="U275" s="6"/>
      <c r="V275" s="6"/>
      <c r="W275" s="7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/>
      <c r="S276" s="6"/>
      <c r="T276" s="6"/>
      <c r="U276" s="6"/>
      <c r="V276" s="6"/>
      <c r="W276" s="7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/>
      <c r="S277" s="6"/>
      <c r="T277" s="6"/>
      <c r="U277" s="6"/>
      <c r="V277" s="6"/>
      <c r="W277" s="7"/>
      <c r="X277" s="6"/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/>
      <c r="S278" s="6"/>
      <c r="T278" s="6"/>
      <c r="U278" s="6"/>
      <c r="V278" s="6"/>
      <c r="W278" s="7"/>
      <c r="X278" s="6"/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/>
      <c r="S279" s="6"/>
      <c r="T279" s="6"/>
      <c r="U279" s="6"/>
      <c r="V279" s="6"/>
      <c r="W279" s="7"/>
      <c r="X279" s="6"/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/>
      <c r="S280" s="6"/>
      <c r="T280" s="6"/>
      <c r="U280" s="6"/>
      <c r="V280" s="6"/>
      <c r="W280" s="7"/>
      <c r="X280" s="6"/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7"/>
      <c r="S281" s="6"/>
      <c r="T281" s="6"/>
      <c r="U281" s="6"/>
      <c r="V281" s="6"/>
      <c r="W281" s="7"/>
      <c r="X281" s="6"/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7"/>
      <c r="S282" s="6"/>
      <c r="T282" s="6"/>
      <c r="U282" s="6"/>
      <c r="V282" s="6"/>
      <c r="W282" s="7"/>
      <c r="X282" s="6"/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7"/>
      <c r="S283" s="6"/>
      <c r="T283" s="6"/>
      <c r="U283" s="6"/>
      <c r="V283" s="6"/>
      <c r="W283" s="7"/>
      <c r="X283" s="6"/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7"/>
      <c r="S284" s="6"/>
      <c r="T284" s="6"/>
      <c r="U284" s="6"/>
      <c r="V284" s="6"/>
      <c r="W284" s="7"/>
      <c r="X284" s="6"/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7"/>
      <c r="S285" s="6"/>
      <c r="T285" s="6"/>
      <c r="U285" s="6"/>
      <c r="V285" s="6"/>
      <c r="W285" s="7"/>
      <c r="X285" s="6"/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7"/>
      <c r="S286" s="6"/>
      <c r="T286" s="6"/>
      <c r="U286" s="6"/>
      <c r="V286" s="6"/>
      <c r="W286" s="7"/>
      <c r="X286" s="6"/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7"/>
      <c r="S287" s="6"/>
      <c r="T287" s="6"/>
      <c r="U287" s="6"/>
      <c r="V287" s="6"/>
      <c r="W287" s="7"/>
      <c r="X287" s="6"/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7"/>
      <c r="S288" s="6"/>
      <c r="T288" s="6"/>
      <c r="U288" s="6"/>
      <c r="V288" s="6"/>
      <c r="W288" s="7"/>
      <c r="X288" s="6"/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7"/>
      <c r="S289" s="6"/>
      <c r="T289" s="6"/>
      <c r="U289" s="6"/>
      <c r="V289" s="6"/>
      <c r="W289" s="7"/>
      <c r="X289" s="6"/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7"/>
      <c r="S290" s="6"/>
      <c r="T290" s="6"/>
      <c r="U290" s="6"/>
      <c r="V290" s="6"/>
      <c r="W290" s="7"/>
      <c r="X290" s="6"/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7"/>
      <c r="S291" s="6"/>
      <c r="T291" s="6"/>
      <c r="U291" s="6"/>
      <c r="V291" s="6"/>
      <c r="W291" s="7"/>
      <c r="X291" s="6"/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7"/>
      <c r="S292" s="6"/>
      <c r="T292" s="6"/>
      <c r="U292" s="6"/>
      <c r="V292" s="6"/>
      <c r="W292" s="7"/>
      <c r="X292" s="6"/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/>
      <c r="S293" s="6"/>
      <c r="T293" s="6"/>
      <c r="U293" s="6"/>
      <c r="V293" s="6"/>
      <c r="W293" s="7"/>
      <c r="X293" s="6"/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/>
      <c r="S294" s="6"/>
      <c r="T294" s="6"/>
      <c r="U294" s="6"/>
      <c r="V294" s="6"/>
      <c r="W294" s="7"/>
      <c r="X294" s="6"/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/>
      <c r="S295" s="6"/>
      <c r="T295" s="6"/>
      <c r="U295" s="6"/>
      <c r="V295" s="6"/>
      <c r="W295" s="7"/>
      <c r="X295" s="6"/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7"/>
      <c r="S296" s="6"/>
      <c r="T296" s="6"/>
      <c r="U296" s="6"/>
      <c r="V296" s="6"/>
      <c r="W296" s="7"/>
      <c r="X296" s="6"/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/>
      <c r="S297" s="6"/>
      <c r="T297" s="6"/>
      <c r="U297" s="6"/>
      <c r="V297" s="6"/>
      <c r="W297" s="7"/>
      <c r="X297" s="6"/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/>
      <c r="S298" s="6"/>
      <c r="T298" s="6"/>
      <c r="U298" s="6"/>
      <c r="V298" s="6"/>
      <c r="W298" s="7"/>
      <c r="X298" s="6"/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/>
      <c r="S299" s="6"/>
      <c r="T299" s="6"/>
      <c r="U299" s="6"/>
      <c r="V299" s="6"/>
      <c r="W299" s="7"/>
      <c r="X299" s="6"/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/>
      <c r="S300" s="6"/>
      <c r="T300" s="6"/>
      <c r="U300" s="6"/>
      <c r="V300" s="6"/>
      <c r="W300" s="7"/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/>
      <c r="S301" s="6"/>
      <c r="T301" s="6"/>
      <c r="U301" s="6"/>
      <c r="V301" s="6"/>
      <c r="W301" s="7"/>
      <c r="X301" s="6"/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/>
      <c r="S302" s="6"/>
      <c r="T302" s="6"/>
      <c r="U302" s="6"/>
      <c r="V302" s="6"/>
      <c r="W302" s="7"/>
      <c r="X302" s="6"/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/>
      <c r="S303" s="6"/>
      <c r="T303" s="6"/>
      <c r="U303" s="6"/>
      <c r="V303" s="6"/>
      <c r="W303" s="7"/>
      <c r="X303" s="6"/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/>
      <c r="S304" s="6"/>
      <c r="T304" s="6"/>
      <c r="U304" s="6"/>
      <c r="V304" s="6"/>
      <c r="W304" s="7"/>
      <c r="X304" s="6"/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/>
      <c r="S305" s="6"/>
      <c r="T305" s="6"/>
      <c r="U305" s="6"/>
      <c r="V305" s="6"/>
      <c r="W305" s="7"/>
      <c r="X305" s="6"/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/>
      <c r="S306" s="6"/>
      <c r="T306" s="6"/>
      <c r="U306" s="6"/>
      <c r="V306" s="6"/>
      <c r="W306" s="7"/>
      <c r="X306" s="6"/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/>
      <c r="S307" s="6"/>
      <c r="T307" s="6"/>
      <c r="U307" s="6"/>
      <c r="V307" s="6"/>
      <c r="W307" s="7"/>
      <c r="X307" s="6"/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/>
      <c r="S308" s="6"/>
      <c r="T308" s="6"/>
      <c r="U308" s="6"/>
      <c r="V308" s="6"/>
      <c r="W308" s="7"/>
      <c r="X308" s="6"/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/>
      <c r="S309" s="6"/>
      <c r="T309" s="6"/>
      <c r="U309" s="6"/>
      <c r="V309" s="6"/>
      <c r="W309" s="7"/>
      <c r="X309" s="6"/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/>
      <c r="S310" s="6"/>
      <c r="T310" s="6"/>
      <c r="U310" s="6"/>
      <c r="V310" s="6"/>
      <c r="W310" s="7"/>
      <c r="X310" s="6"/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/>
      <c r="S311" s="6"/>
      <c r="T311" s="6"/>
      <c r="U311" s="6"/>
      <c r="V311" s="6"/>
      <c r="W311" s="7"/>
      <c r="X311" s="6"/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/>
      <c r="S312" s="6"/>
      <c r="T312" s="6"/>
      <c r="U312" s="6"/>
      <c r="V312" s="6"/>
      <c r="W312" s="7"/>
      <c r="X312" s="6"/>
      <c r="Y312" s="6"/>
      <c r="Z312" s="6"/>
      <c r="AA312" s="6"/>
      <c r="AB312" s="6"/>
      <c r="AC312" s="6"/>
      <c r="AD312" s="6"/>
      <c r="AE312" s="6"/>
      <c r="AF312" s="6"/>
      <c r="AG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/>
      <c r="S313" s="6"/>
      <c r="T313" s="6"/>
      <c r="U313" s="6"/>
      <c r="V313" s="6"/>
      <c r="W313" s="7"/>
      <c r="X313" s="6"/>
      <c r="Y313" s="6"/>
      <c r="Z313" s="6"/>
      <c r="AA313" s="6"/>
      <c r="AB313" s="6"/>
      <c r="AC313" s="6"/>
      <c r="AD313" s="6"/>
      <c r="AE313" s="6"/>
      <c r="AF313" s="6"/>
      <c r="AG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/>
      <c r="S314" s="6"/>
      <c r="T314" s="6"/>
      <c r="U314" s="6"/>
      <c r="V314" s="6"/>
      <c r="W314" s="7"/>
      <c r="X314" s="6"/>
      <c r="Y314" s="6"/>
      <c r="Z314" s="6"/>
      <c r="AA314" s="6"/>
      <c r="AB314" s="6"/>
      <c r="AC314" s="6"/>
      <c r="AD314" s="6"/>
      <c r="AE314" s="6"/>
      <c r="AF314" s="6"/>
      <c r="AG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/>
      <c r="S315" s="6"/>
      <c r="T315" s="6"/>
      <c r="U315" s="6"/>
      <c r="V315" s="6"/>
      <c r="W315" s="7"/>
      <c r="X315" s="6"/>
      <c r="Y315" s="6"/>
      <c r="Z315" s="6"/>
      <c r="AA315" s="6"/>
      <c r="AB315" s="6"/>
      <c r="AC315" s="6"/>
      <c r="AD315" s="6"/>
      <c r="AE315" s="6"/>
      <c r="AF315" s="6"/>
      <c r="AG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7"/>
      <c r="S316" s="6"/>
      <c r="T316" s="6"/>
      <c r="U316" s="6"/>
      <c r="V316" s="6"/>
      <c r="W316" s="7"/>
      <c r="X316" s="6"/>
      <c r="Y316" s="6"/>
      <c r="Z316" s="6"/>
      <c r="AA316" s="6"/>
      <c r="AB316" s="6"/>
      <c r="AC316" s="6"/>
      <c r="AD316" s="6"/>
      <c r="AE316" s="6"/>
      <c r="AF316" s="6"/>
      <c r="AG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7"/>
      <c r="S317" s="6"/>
      <c r="T317" s="6"/>
      <c r="U317" s="6"/>
      <c r="V317" s="6"/>
      <c r="W317" s="7"/>
      <c r="X317" s="6"/>
      <c r="Y317" s="6"/>
      <c r="Z317" s="6"/>
      <c r="AA317" s="6"/>
      <c r="AB317" s="6"/>
      <c r="AC317" s="6"/>
      <c r="AD317" s="6"/>
      <c r="AE317" s="6"/>
      <c r="AF317" s="6"/>
      <c r="AG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7"/>
      <c r="S318" s="6"/>
      <c r="T318" s="6"/>
      <c r="U318" s="6"/>
      <c r="V318" s="6"/>
      <c r="W318" s="7"/>
      <c r="X318" s="6"/>
      <c r="Y318" s="6"/>
      <c r="Z318" s="6"/>
      <c r="AA318" s="6"/>
      <c r="AB318" s="6"/>
      <c r="AC318" s="6"/>
      <c r="AD318" s="6"/>
      <c r="AE318" s="6"/>
      <c r="AF318" s="6"/>
      <c r="AG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7"/>
      <c r="S319" s="6"/>
      <c r="T319" s="6"/>
      <c r="U319" s="6"/>
      <c r="V319" s="6"/>
      <c r="W319" s="7"/>
      <c r="X319" s="6"/>
      <c r="Y319" s="6"/>
      <c r="Z319" s="6"/>
      <c r="AA319" s="6"/>
      <c r="AB319" s="6"/>
      <c r="AC319" s="6"/>
      <c r="AD319" s="6"/>
      <c r="AE319" s="6"/>
      <c r="AF319" s="6"/>
      <c r="AG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7"/>
      <c r="S320" s="6"/>
      <c r="T320" s="6"/>
      <c r="U320" s="6"/>
      <c r="V320" s="6"/>
      <c r="W320" s="7"/>
      <c r="X320" s="6"/>
      <c r="Y320" s="6"/>
      <c r="Z320" s="6"/>
      <c r="AA320" s="6"/>
      <c r="AB320" s="6"/>
      <c r="AC320" s="6"/>
      <c r="AD320" s="6"/>
      <c r="AE320" s="6"/>
      <c r="AF320" s="6"/>
      <c r="AG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7"/>
      <c r="S321" s="6"/>
      <c r="T321" s="6"/>
      <c r="U321" s="6"/>
      <c r="V321" s="6"/>
      <c r="W321" s="7"/>
      <c r="X321" s="6"/>
      <c r="Y321" s="6"/>
      <c r="Z321" s="6"/>
      <c r="AA321" s="6"/>
      <c r="AB321" s="6"/>
      <c r="AC321" s="6"/>
      <c r="AD321" s="6"/>
      <c r="AE321" s="6"/>
      <c r="AF321" s="6"/>
      <c r="AG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7"/>
      <c r="S322" s="6"/>
      <c r="T322" s="6"/>
      <c r="U322" s="6"/>
      <c r="V322" s="6"/>
      <c r="W322" s="7"/>
      <c r="X322" s="6"/>
      <c r="Y322" s="6"/>
      <c r="Z322" s="6"/>
      <c r="AA322" s="6"/>
      <c r="AB322" s="6"/>
      <c r="AC322" s="6"/>
      <c r="AD322" s="6"/>
      <c r="AE322" s="6"/>
      <c r="AF322" s="6"/>
      <c r="AG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7"/>
      <c r="S323" s="6"/>
      <c r="T323" s="6"/>
      <c r="U323" s="6"/>
      <c r="V323" s="6"/>
      <c r="W323" s="7"/>
      <c r="X323" s="6"/>
      <c r="Y323" s="6"/>
      <c r="Z323" s="6"/>
      <c r="AA323" s="6"/>
      <c r="AB323" s="6"/>
      <c r="AC323" s="6"/>
      <c r="AD323" s="6"/>
      <c r="AE323" s="6"/>
      <c r="AF323" s="6"/>
      <c r="AG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7"/>
      <c r="S324" s="6"/>
      <c r="T324" s="6"/>
      <c r="U324" s="6"/>
      <c r="V324" s="6"/>
      <c r="W324" s="7"/>
      <c r="X324" s="6"/>
      <c r="Y324" s="6"/>
      <c r="Z324" s="6"/>
      <c r="AA324" s="6"/>
      <c r="AB324" s="6"/>
      <c r="AC324" s="6"/>
      <c r="AD324" s="6"/>
      <c r="AE324" s="6"/>
      <c r="AF324" s="6"/>
      <c r="AG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7"/>
      <c r="S325" s="6"/>
      <c r="T325" s="6"/>
      <c r="U325" s="6"/>
      <c r="V325" s="6"/>
      <c r="W325" s="7"/>
      <c r="X325" s="6"/>
      <c r="Y325" s="6"/>
      <c r="Z325" s="6"/>
      <c r="AA325" s="6"/>
      <c r="AB325" s="6"/>
      <c r="AC325" s="6"/>
      <c r="AD325" s="6"/>
      <c r="AE325" s="6"/>
      <c r="AF325" s="6"/>
      <c r="AG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7"/>
      <c r="S326" s="6"/>
      <c r="T326" s="6"/>
      <c r="U326" s="6"/>
      <c r="V326" s="6"/>
      <c r="W326" s="7"/>
      <c r="X326" s="6"/>
      <c r="Y326" s="6"/>
      <c r="Z326" s="6"/>
      <c r="AA326" s="6"/>
      <c r="AB326" s="6"/>
      <c r="AC326" s="6"/>
      <c r="AD326" s="6"/>
      <c r="AE326" s="6"/>
      <c r="AF326" s="6"/>
      <c r="AG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7"/>
      <c r="S327" s="6"/>
      <c r="T327" s="6"/>
      <c r="U327" s="6"/>
      <c r="V327" s="6"/>
      <c r="W327" s="7"/>
      <c r="X327" s="6"/>
      <c r="Y327" s="6"/>
      <c r="Z327" s="6"/>
      <c r="AA327" s="6"/>
      <c r="AB327" s="6"/>
      <c r="AC327" s="6"/>
      <c r="AD327" s="6"/>
      <c r="AE327" s="6"/>
      <c r="AF327" s="6"/>
      <c r="AG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7"/>
      <c r="S328" s="6"/>
      <c r="T328" s="6"/>
      <c r="U328" s="6"/>
      <c r="V328" s="6"/>
      <c r="W328" s="7"/>
      <c r="X328" s="6"/>
      <c r="Y328" s="6"/>
      <c r="Z328" s="6"/>
      <c r="AA328" s="6"/>
      <c r="AB328" s="6"/>
      <c r="AC328" s="6"/>
      <c r="AD328" s="6"/>
      <c r="AE328" s="6"/>
      <c r="AF328" s="6"/>
      <c r="AG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7"/>
      <c r="S329" s="6"/>
      <c r="T329" s="6"/>
      <c r="U329" s="6"/>
      <c r="V329" s="6"/>
      <c r="W329" s="7"/>
      <c r="X329" s="6"/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7"/>
      <c r="S330" s="6"/>
      <c r="T330" s="6"/>
      <c r="U330" s="6"/>
      <c r="V330" s="6"/>
      <c r="W330" s="7"/>
      <c r="X330" s="6"/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7"/>
      <c r="S331" s="6"/>
      <c r="T331" s="6"/>
      <c r="U331" s="6"/>
      <c r="V331" s="6"/>
      <c r="W331" s="7"/>
      <c r="X331" s="6"/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7"/>
      <c r="S332" s="6"/>
      <c r="T332" s="6"/>
      <c r="U332" s="6"/>
      <c r="V332" s="6"/>
      <c r="W332" s="7"/>
      <c r="X332" s="6"/>
      <c r="Y332" s="6"/>
      <c r="Z332" s="6"/>
      <c r="AA332" s="6"/>
      <c r="AB332" s="6"/>
      <c r="AC332" s="6"/>
      <c r="AD332" s="6"/>
      <c r="AE332" s="6"/>
      <c r="AF332" s="6"/>
      <c r="AG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7"/>
      <c r="S333" s="6"/>
      <c r="T333" s="6"/>
      <c r="U333" s="6"/>
      <c r="V333" s="6"/>
      <c r="W333" s="7"/>
      <c r="X333" s="6"/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7"/>
      <c r="S334" s="6"/>
      <c r="T334" s="6"/>
      <c r="U334" s="6"/>
      <c r="V334" s="6"/>
      <c r="W334" s="7"/>
      <c r="X334" s="6"/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7"/>
      <c r="S335" s="6"/>
      <c r="T335" s="6"/>
      <c r="U335" s="6"/>
      <c r="V335" s="6"/>
      <c r="W335" s="7"/>
      <c r="X335" s="6"/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7"/>
      <c r="S336" s="6"/>
      <c r="T336" s="6"/>
      <c r="U336" s="6"/>
      <c r="V336" s="6"/>
      <c r="W336" s="7"/>
      <c r="X336" s="6"/>
      <c r="Y336" s="6"/>
      <c r="Z336" s="6"/>
      <c r="AA336" s="6"/>
      <c r="AB336" s="6"/>
      <c r="AC336" s="6"/>
      <c r="AD336" s="6"/>
      <c r="AE336" s="6"/>
      <c r="AF336" s="6"/>
      <c r="AG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7"/>
      <c r="S337" s="6"/>
      <c r="T337" s="6"/>
      <c r="U337" s="6"/>
      <c r="V337" s="6"/>
      <c r="W337" s="7"/>
      <c r="X337" s="6"/>
      <c r="Y337" s="6"/>
      <c r="Z337" s="6"/>
      <c r="AA337" s="6"/>
      <c r="AB337" s="6"/>
      <c r="AC337" s="6"/>
      <c r="AD337" s="6"/>
      <c r="AE337" s="6"/>
      <c r="AF337" s="6"/>
      <c r="AG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7"/>
      <c r="S338" s="6"/>
      <c r="T338" s="6"/>
      <c r="U338" s="6"/>
      <c r="V338" s="6"/>
      <c r="W338" s="7"/>
      <c r="X338" s="6"/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7"/>
      <c r="S339" s="6"/>
      <c r="T339" s="6"/>
      <c r="U339" s="6"/>
      <c r="V339" s="6"/>
      <c r="W339" s="7"/>
      <c r="X339" s="6"/>
      <c r="Y339" s="6"/>
      <c r="Z339" s="6"/>
      <c r="AA339" s="6"/>
      <c r="AB339" s="6"/>
      <c r="AC339" s="6"/>
      <c r="AD339" s="6"/>
      <c r="AE339" s="6"/>
      <c r="AF339" s="6"/>
      <c r="AG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7"/>
      <c r="S340" s="6"/>
      <c r="T340" s="6"/>
      <c r="U340" s="6"/>
      <c r="V340" s="6"/>
      <c r="W340" s="7"/>
      <c r="X340" s="6"/>
      <c r="Y340" s="6"/>
      <c r="Z340" s="6"/>
      <c r="AA340" s="6"/>
      <c r="AB340" s="6"/>
      <c r="AC340" s="6"/>
      <c r="AD340" s="6"/>
      <c r="AE340" s="6"/>
      <c r="AF340" s="6"/>
      <c r="AG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7"/>
      <c r="S341" s="6"/>
      <c r="T341" s="6"/>
      <c r="U341" s="6"/>
      <c r="V341" s="6"/>
      <c r="W341" s="7"/>
      <c r="X341" s="6"/>
      <c r="Y341" s="6"/>
      <c r="Z341" s="6"/>
      <c r="AA341" s="6"/>
      <c r="AB341" s="6"/>
      <c r="AC341" s="6"/>
      <c r="AD341" s="6"/>
      <c r="AE341" s="6"/>
      <c r="AF341" s="6"/>
      <c r="AG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7"/>
      <c r="S342" s="6"/>
      <c r="T342" s="6"/>
      <c r="U342" s="6"/>
      <c r="V342" s="6"/>
      <c r="W342" s="7"/>
      <c r="X342" s="6"/>
      <c r="Y342" s="6"/>
      <c r="Z342" s="6"/>
      <c r="AA342" s="6"/>
      <c r="AB342" s="6"/>
      <c r="AC342" s="6"/>
      <c r="AD342" s="6"/>
      <c r="AE342" s="6"/>
      <c r="AF342" s="6"/>
      <c r="AG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7"/>
      <c r="S343" s="6"/>
      <c r="T343" s="6"/>
      <c r="U343" s="6"/>
      <c r="V343" s="6"/>
      <c r="W343" s="7"/>
      <c r="X343" s="6"/>
      <c r="Y343" s="6"/>
      <c r="Z343" s="6"/>
      <c r="AA343" s="6"/>
      <c r="AB343" s="6"/>
      <c r="AC343" s="6"/>
      <c r="AD343" s="6"/>
      <c r="AE343" s="6"/>
      <c r="AF343" s="6"/>
      <c r="AG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7"/>
      <c r="S344" s="6"/>
      <c r="T344" s="6"/>
      <c r="U344" s="6"/>
      <c r="V344" s="6"/>
      <c r="W344" s="7"/>
      <c r="X344" s="6"/>
      <c r="Y344" s="6"/>
      <c r="Z344" s="6"/>
      <c r="AA344" s="6"/>
      <c r="AB344" s="6"/>
      <c r="AC344" s="6"/>
      <c r="AD344" s="6"/>
      <c r="AE344" s="6"/>
      <c r="AF344" s="6"/>
      <c r="AG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7"/>
      <c r="S345" s="6"/>
      <c r="T345" s="6"/>
      <c r="U345" s="6"/>
      <c r="V345" s="6"/>
      <c r="W345" s="7"/>
      <c r="X345" s="6"/>
      <c r="Y345" s="6"/>
      <c r="Z345" s="6"/>
      <c r="AA345" s="6"/>
      <c r="AB345" s="6"/>
      <c r="AC345" s="6"/>
      <c r="AD345" s="6"/>
      <c r="AE345" s="6"/>
      <c r="AF345" s="6"/>
      <c r="AG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7"/>
      <c r="S346" s="6"/>
      <c r="T346" s="6"/>
      <c r="U346" s="6"/>
      <c r="V346" s="6"/>
      <c r="W346" s="7"/>
      <c r="X346" s="6"/>
      <c r="Y346" s="6"/>
      <c r="Z346" s="6"/>
      <c r="AA346" s="6"/>
      <c r="AB346" s="6"/>
      <c r="AC346" s="6"/>
      <c r="AD346" s="6"/>
      <c r="AE346" s="6"/>
      <c r="AF346" s="6"/>
      <c r="AG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7"/>
      <c r="S347" s="6"/>
      <c r="T347" s="6"/>
      <c r="U347" s="6"/>
      <c r="V347" s="6"/>
      <c r="W347" s="7"/>
      <c r="X347" s="6"/>
      <c r="Y347" s="6"/>
      <c r="Z347" s="6"/>
      <c r="AA347" s="6"/>
      <c r="AB347" s="6"/>
      <c r="AC347" s="6"/>
      <c r="AD347" s="6"/>
      <c r="AE347" s="6"/>
      <c r="AF347" s="6"/>
      <c r="AG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7"/>
      <c r="S348" s="6"/>
      <c r="T348" s="6"/>
      <c r="U348" s="6"/>
      <c r="V348" s="6"/>
      <c r="W348" s="7"/>
      <c r="X348" s="6"/>
      <c r="Y348" s="6"/>
      <c r="Z348" s="6"/>
      <c r="AA348" s="6"/>
      <c r="AB348" s="6"/>
      <c r="AC348" s="6"/>
      <c r="AD348" s="6"/>
      <c r="AE348" s="6"/>
      <c r="AF348" s="6"/>
      <c r="AG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7"/>
      <c r="S349" s="6"/>
      <c r="T349" s="6"/>
      <c r="U349" s="6"/>
      <c r="V349" s="6"/>
      <c r="W349" s="7"/>
      <c r="X349" s="6"/>
      <c r="Y349" s="6"/>
      <c r="Z349" s="6"/>
      <c r="AA349" s="6"/>
      <c r="AB349" s="6"/>
      <c r="AC349" s="6"/>
      <c r="AD349" s="6"/>
      <c r="AE349" s="6"/>
      <c r="AF349" s="6"/>
      <c r="AG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7"/>
      <c r="S350" s="6"/>
      <c r="T350" s="6"/>
      <c r="U350" s="6"/>
      <c r="V350" s="6"/>
      <c r="W350" s="7"/>
      <c r="X350" s="6"/>
      <c r="Y350" s="6"/>
      <c r="Z350" s="6"/>
      <c r="AA350" s="6"/>
      <c r="AB350" s="6"/>
      <c r="AC350" s="6"/>
      <c r="AD350" s="6"/>
      <c r="AE350" s="6"/>
      <c r="AF350" s="6"/>
      <c r="AG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7"/>
      <c r="S351" s="6"/>
      <c r="T351" s="6"/>
      <c r="U351" s="6"/>
      <c r="V351" s="6"/>
      <c r="W351" s="7"/>
      <c r="X351" s="6"/>
      <c r="Y351" s="6"/>
      <c r="Z351" s="6"/>
      <c r="AA351" s="6"/>
      <c r="AB351" s="6"/>
      <c r="AC351" s="6"/>
      <c r="AD351" s="6"/>
      <c r="AE351" s="6"/>
      <c r="AF351" s="6"/>
      <c r="AG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7"/>
      <c r="S352" s="6"/>
      <c r="T352" s="6"/>
      <c r="U352" s="6"/>
      <c r="V352" s="6"/>
      <c r="W352" s="7"/>
      <c r="X352" s="6"/>
      <c r="Y352" s="6"/>
      <c r="Z352" s="6"/>
      <c r="AA352" s="6"/>
      <c r="AB352" s="6"/>
      <c r="AC352" s="6"/>
      <c r="AD352" s="6"/>
      <c r="AE352" s="6"/>
      <c r="AF352" s="6"/>
      <c r="AG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7"/>
      <c r="S353" s="6"/>
      <c r="T353" s="6"/>
      <c r="U353" s="6"/>
      <c r="V353" s="6"/>
      <c r="W353" s="7"/>
      <c r="X353" s="6"/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7"/>
      <c r="S354" s="6"/>
      <c r="T354" s="6"/>
      <c r="U354" s="6"/>
      <c r="V354" s="6"/>
      <c r="W354" s="7"/>
      <c r="X354" s="6"/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7"/>
      <c r="S355" s="6"/>
      <c r="T355" s="6"/>
      <c r="U355" s="6"/>
      <c r="V355" s="6"/>
      <c r="W355" s="7"/>
      <c r="X355" s="6"/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7"/>
      <c r="S356" s="6"/>
      <c r="T356" s="6"/>
      <c r="U356" s="6"/>
      <c r="V356" s="6"/>
      <c r="W356" s="7"/>
      <c r="X356" s="6"/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7"/>
      <c r="S357" s="6"/>
      <c r="T357" s="6"/>
      <c r="U357" s="6"/>
      <c r="V357" s="6"/>
      <c r="W357" s="7"/>
      <c r="X357" s="6"/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7"/>
      <c r="S358" s="6"/>
      <c r="T358" s="6"/>
      <c r="U358" s="6"/>
      <c r="V358" s="6"/>
      <c r="W358" s="7"/>
      <c r="X358" s="6"/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7"/>
      <c r="S359" s="6"/>
      <c r="T359" s="6"/>
      <c r="U359" s="6"/>
      <c r="V359" s="6"/>
      <c r="W359" s="7"/>
      <c r="X359" s="6"/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7"/>
      <c r="S360" s="6"/>
      <c r="T360" s="6"/>
      <c r="U360" s="6"/>
      <c r="V360" s="6"/>
      <c r="W360" s="7"/>
      <c r="X360" s="6"/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7"/>
      <c r="S361" s="6"/>
      <c r="T361" s="6"/>
      <c r="U361" s="6"/>
      <c r="V361" s="6"/>
      <c r="W361" s="7"/>
      <c r="X361" s="6"/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7"/>
      <c r="S362" s="6"/>
      <c r="T362" s="6"/>
      <c r="U362" s="6"/>
      <c r="V362" s="6"/>
      <c r="W362" s="7"/>
      <c r="X362" s="6"/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7"/>
      <c r="S363" s="6"/>
      <c r="T363" s="6"/>
      <c r="U363" s="6"/>
      <c r="V363" s="6"/>
      <c r="W363" s="7"/>
      <c r="X363" s="6"/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7"/>
      <c r="S364" s="6"/>
      <c r="T364" s="6"/>
      <c r="U364" s="6"/>
      <c r="V364" s="6"/>
      <c r="W364" s="7"/>
      <c r="X364" s="6"/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7"/>
      <c r="S365" s="6"/>
      <c r="T365" s="6"/>
      <c r="U365" s="6"/>
      <c r="V365" s="6"/>
      <c r="W365" s="7"/>
      <c r="X365" s="6"/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7"/>
      <c r="S366" s="6"/>
      <c r="T366" s="6"/>
      <c r="U366" s="6"/>
      <c r="V366" s="6"/>
      <c r="W366" s="7"/>
      <c r="X366" s="6"/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7"/>
      <c r="S367" s="6"/>
      <c r="T367" s="6"/>
      <c r="U367" s="6"/>
      <c r="V367" s="6"/>
      <c r="W367" s="7"/>
      <c r="X367" s="6"/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7"/>
      <c r="S368" s="6"/>
      <c r="T368" s="6"/>
      <c r="U368" s="6"/>
      <c r="V368" s="6"/>
      <c r="W368" s="7"/>
      <c r="X368" s="6"/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7"/>
      <c r="S369" s="6"/>
      <c r="T369" s="6"/>
      <c r="U369" s="6"/>
      <c r="V369" s="6"/>
      <c r="W369" s="7"/>
      <c r="X369" s="6"/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7"/>
      <c r="S370" s="6"/>
      <c r="T370" s="6"/>
      <c r="U370" s="6"/>
      <c r="V370" s="6"/>
      <c r="W370" s="7"/>
      <c r="X370" s="6"/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7"/>
      <c r="S371" s="6"/>
      <c r="T371" s="6"/>
      <c r="U371" s="6"/>
      <c r="V371" s="6"/>
      <c r="W371" s="7"/>
      <c r="X371" s="6"/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7"/>
      <c r="S372" s="6"/>
      <c r="T372" s="6"/>
      <c r="U372" s="6"/>
      <c r="V372" s="6"/>
      <c r="W372" s="7"/>
      <c r="X372" s="6"/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7"/>
      <c r="S373" s="6"/>
      <c r="T373" s="6"/>
      <c r="U373" s="6"/>
      <c r="V373" s="6"/>
      <c r="W373" s="7"/>
      <c r="X373" s="6"/>
      <c r="Y373" s="6"/>
      <c r="Z373" s="6"/>
      <c r="AA373" s="6"/>
      <c r="AB373" s="6"/>
      <c r="AC373" s="6"/>
      <c r="AD373" s="6"/>
      <c r="AE373" s="6"/>
      <c r="AF373" s="6"/>
      <c r="AG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7"/>
      <c r="S374" s="6"/>
      <c r="T374" s="6"/>
      <c r="U374" s="6"/>
      <c r="V374" s="6"/>
      <c r="W374" s="7"/>
      <c r="X374" s="6"/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7"/>
      <c r="S375" s="6"/>
      <c r="T375" s="6"/>
      <c r="U375" s="6"/>
      <c r="V375" s="6"/>
      <c r="W375" s="7"/>
      <c r="X375" s="6"/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7"/>
      <c r="S376" s="6"/>
      <c r="T376" s="6"/>
      <c r="U376" s="6"/>
      <c r="V376" s="6"/>
      <c r="W376" s="7"/>
      <c r="X376" s="6"/>
      <c r="Y376" s="6"/>
      <c r="Z376" s="6"/>
      <c r="AA376" s="6"/>
      <c r="AB376" s="6"/>
      <c r="AC376" s="6"/>
      <c r="AD376" s="6"/>
      <c r="AE376" s="6"/>
      <c r="AF376" s="6"/>
      <c r="AG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7"/>
      <c r="S377" s="6"/>
      <c r="T377" s="6"/>
      <c r="U377" s="6"/>
      <c r="V377" s="6"/>
      <c r="W377" s="7"/>
      <c r="X377" s="6"/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7"/>
      <c r="S378" s="6"/>
      <c r="T378" s="6"/>
      <c r="U378" s="6"/>
      <c r="V378" s="6"/>
      <c r="W378" s="7"/>
      <c r="X378" s="6"/>
      <c r="Y378" s="6"/>
      <c r="Z378" s="6"/>
      <c r="AA378" s="6"/>
      <c r="AB378" s="6"/>
      <c r="AC378" s="6"/>
      <c r="AD378" s="6"/>
      <c r="AE378" s="6"/>
      <c r="AF378" s="6"/>
      <c r="AG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7"/>
      <c r="S379" s="6"/>
      <c r="T379" s="6"/>
      <c r="U379" s="6"/>
      <c r="V379" s="6"/>
      <c r="W379" s="7"/>
      <c r="X379" s="6"/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7"/>
      <c r="S380" s="6"/>
      <c r="T380" s="6"/>
      <c r="U380" s="6"/>
      <c r="V380" s="6"/>
      <c r="W380" s="7"/>
      <c r="X380" s="6"/>
      <c r="Y380" s="6"/>
      <c r="Z380" s="6"/>
      <c r="AA380" s="6"/>
      <c r="AB380" s="6"/>
      <c r="AC380" s="6"/>
      <c r="AD380" s="6"/>
      <c r="AE380" s="6"/>
      <c r="AF380" s="6"/>
      <c r="AG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7"/>
      <c r="S381" s="6"/>
      <c r="T381" s="6"/>
      <c r="U381" s="6"/>
      <c r="V381" s="6"/>
      <c r="W381" s="7"/>
      <c r="X381" s="6"/>
      <c r="Y381" s="6"/>
      <c r="Z381" s="6"/>
      <c r="AA381" s="6"/>
      <c r="AB381" s="6"/>
      <c r="AC381" s="6"/>
      <c r="AD381" s="6"/>
      <c r="AE381" s="6"/>
      <c r="AF381" s="6"/>
      <c r="AG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7"/>
      <c r="S382" s="6"/>
      <c r="T382" s="6"/>
      <c r="U382" s="6"/>
      <c r="V382" s="6"/>
      <c r="W382" s="7"/>
      <c r="X382" s="6"/>
      <c r="Y382" s="6"/>
      <c r="Z382" s="6"/>
      <c r="AA382" s="6"/>
      <c r="AB382" s="6"/>
      <c r="AC382" s="6"/>
      <c r="AD382" s="6"/>
      <c r="AE382" s="6"/>
      <c r="AF382" s="6"/>
      <c r="AG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7"/>
      <c r="S383" s="6"/>
      <c r="T383" s="6"/>
      <c r="U383" s="6"/>
      <c r="V383" s="6"/>
      <c r="W383" s="7"/>
      <c r="X383" s="6"/>
      <c r="Y383" s="6"/>
      <c r="Z383" s="6"/>
      <c r="AA383" s="6"/>
      <c r="AB383" s="6"/>
      <c r="AC383" s="6"/>
      <c r="AD383" s="6"/>
      <c r="AE383" s="6"/>
      <c r="AF383" s="6"/>
      <c r="AG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7"/>
      <c r="S384" s="6"/>
      <c r="T384" s="6"/>
      <c r="U384" s="6"/>
      <c r="V384" s="6"/>
      <c r="W384" s="7"/>
      <c r="X384" s="6"/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7"/>
      <c r="S385" s="6"/>
      <c r="T385" s="6"/>
      <c r="U385" s="6"/>
      <c r="V385" s="6"/>
      <c r="W385" s="7"/>
      <c r="X385" s="6"/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7"/>
      <c r="S386" s="6"/>
      <c r="T386" s="6"/>
      <c r="U386" s="6"/>
      <c r="V386" s="6"/>
      <c r="W386" s="7"/>
      <c r="X386" s="6"/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7"/>
      <c r="S387" s="6"/>
      <c r="T387" s="6"/>
      <c r="U387" s="6"/>
      <c r="V387" s="6"/>
      <c r="W387" s="7"/>
      <c r="X387" s="6"/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7"/>
      <c r="S388" s="6"/>
      <c r="T388" s="6"/>
      <c r="U388" s="6"/>
      <c r="V388" s="6"/>
      <c r="W388" s="7"/>
      <c r="X388" s="6"/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7"/>
      <c r="S389" s="6"/>
      <c r="T389" s="6"/>
      <c r="U389" s="6"/>
      <c r="V389" s="6"/>
      <c r="W389" s="7"/>
      <c r="X389" s="6"/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7"/>
      <c r="S390" s="6"/>
      <c r="T390" s="6"/>
      <c r="U390" s="6"/>
      <c r="V390" s="6"/>
      <c r="W390" s="7"/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7"/>
      <c r="S391" s="6"/>
      <c r="T391" s="6"/>
      <c r="U391" s="6"/>
      <c r="V391" s="6"/>
      <c r="W391" s="7"/>
      <c r="X391" s="6"/>
      <c r="Y391" s="6"/>
      <c r="Z391" s="6"/>
      <c r="AA391" s="6"/>
      <c r="AB391" s="6"/>
      <c r="AC391" s="6"/>
      <c r="AD391" s="6"/>
      <c r="AE391" s="6"/>
      <c r="AF391" s="6"/>
      <c r="AG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7"/>
      <c r="S392" s="6"/>
      <c r="T392" s="6"/>
      <c r="U392" s="6"/>
      <c r="V392" s="6"/>
      <c r="W392" s="7"/>
      <c r="X392" s="6"/>
      <c r="Y392" s="6"/>
      <c r="Z392" s="6"/>
      <c r="AA392" s="6"/>
      <c r="AB392" s="6"/>
      <c r="AC392" s="6"/>
      <c r="AD392" s="6"/>
      <c r="AE392" s="6"/>
      <c r="AF392" s="6"/>
      <c r="AG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7"/>
      <c r="S393" s="6"/>
      <c r="T393" s="6"/>
      <c r="U393" s="6"/>
      <c r="V393" s="6"/>
      <c r="W393" s="7"/>
      <c r="X393" s="6"/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7"/>
      <c r="S394" s="6"/>
      <c r="T394" s="6"/>
      <c r="U394" s="6"/>
      <c r="V394" s="6"/>
      <c r="W394" s="7"/>
      <c r="X394" s="6"/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/>
      <c r="S395" s="6"/>
      <c r="T395" s="6"/>
      <c r="U395" s="6"/>
      <c r="V395" s="6"/>
      <c r="W395" s="7"/>
      <c r="X395" s="6"/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7"/>
      <c r="S396" s="6"/>
      <c r="T396" s="6"/>
      <c r="U396" s="6"/>
      <c r="V396" s="6"/>
      <c r="W396" s="7"/>
      <c r="X396" s="6"/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/>
      <c r="S397" s="6"/>
      <c r="T397" s="6"/>
      <c r="U397" s="6"/>
      <c r="V397" s="6"/>
      <c r="W397" s="7"/>
      <c r="X397" s="6"/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/>
      <c r="S398" s="6"/>
      <c r="T398" s="6"/>
      <c r="U398" s="6"/>
      <c r="V398" s="6"/>
      <c r="W398" s="7"/>
      <c r="X398" s="6"/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/>
      <c r="S399" s="6"/>
      <c r="T399" s="6"/>
      <c r="U399" s="6"/>
      <c r="V399" s="6"/>
      <c r="W399" s="7"/>
      <c r="X399" s="6"/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/>
      <c r="S400" s="6"/>
      <c r="T400" s="6"/>
      <c r="U400" s="6"/>
      <c r="V400" s="6"/>
      <c r="W400" s="7"/>
      <c r="X400" s="6"/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/>
      <c r="S401" s="6"/>
      <c r="T401" s="6"/>
      <c r="U401" s="6"/>
      <c r="V401" s="6"/>
      <c r="W401" s="7"/>
      <c r="X401" s="6"/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/>
      <c r="S402" s="6"/>
      <c r="T402" s="6"/>
      <c r="U402" s="6"/>
      <c r="V402" s="6"/>
      <c r="W402" s="7"/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/>
      <c r="S403" s="6"/>
      <c r="T403" s="6"/>
      <c r="U403" s="6"/>
      <c r="V403" s="6"/>
      <c r="W403" s="7"/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/>
      <c r="S404" s="6"/>
      <c r="T404" s="6"/>
      <c r="U404" s="6"/>
      <c r="V404" s="6"/>
      <c r="W404" s="7"/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/>
      <c r="S405" s="6"/>
      <c r="T405" s="6"/>
      <c r="U405" s="6"/>
      <c r="V405" s="6"/>
      <c r="W405" s="7"/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/>
      <c r="S406" s="6"/>
      <c r="T406" s="6"/>
      <c r="U406" s="6"/>
      <c r="V406" s="6"/>
      <c r="W406" s="7"/>
      <c r="X406" s="6"/>
      <c r="Y406" s="6"/>
      <c r="Z406" s="6"/>
      <c r="AA406" s="6"/>
      <c r="AB406" s="6"/>
      <c r="AC406" s="6"/>
      <c r="AD406" s="6"/>
      <c r="AE406" s="6"/>
      <c r="AF406" s="6"/>
      <c r="AG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/>
      <c r="S407" s="6"/>
      <c r="T407" s="6"/>
      <c r="U407" s="6"/>
      <c r="V407" s="6"/>
      <c r="W407" s="7"/>
      <c r="X407" s="6"/>
      <c r="Y407" s="6"/>
      <c r="Z407" s="6"/>
      <c r="AA407" s="6"/>
      <c r="AB407" s="6"/>
      <c r="AC407" s="6"/>
      <c r="AD407" s="6"/>
      <c r="AE407" s="6"/>
      <c r="AF407" s="6"/>
      <c r="AG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/>
      <c r="S408" s="6"/>
      <c r="T408" s="6"/>
      <c r="U408" s="6"/>
      <c r="V408" s="6"/>
      <c r="W408" s="7"/>
      <c r="X408" s="6"/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/>
      <c r="S409" s="6"/>
      <c r="T409" s="6"/>
      <c r="U409" s="6"/>
      <c r="V409" s="6"/>
      <c r="W409" s="7"/>
      <c r="X409" s="6"/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/>
      <c r="S410" s="6"/>
      <c r="T410" s="6"/>
      <c r="U410" s="6"/>
      <c r="V410" s="6"/>
      <c r="W410" s="7"/>
      <c r="X410" s="6"/>
      <c r="Y410" s="6"/>
      <c r="Z410" s="6"/>
      <c r="AA410" s="6"/>
      <c r="AB410" s="6"/>
      <c r="AC410" s="6"/>
      <c r="AD410" s="6"/>
      <c r="AE410" s="6"/>
      <c r="AF410" s="6"/>
      <c r="AG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/>
      <c r="S411" s="6"/>
      <c r="T411" s="6"/>
      <c r="U411" s="6"/>
      <c r="V411" s="6"/>
      <c r="W411" s="7"/>
      <c r="X411" s="6"/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/>
      <c r="S412" s="6"/>
      <c r="T412" s="6"/>
      <c r="U412" s="6"/>
      <c r="V412" s="6"/>
      <c r="W412" s="7"/>
      <c r="X412" s="6"/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/>
      <c r="S413" s="6"/>
      <c r="T413" s="6"/>
      <c r="U413" s="6"/>
      <c r="V413" s="6"/>
      <c r="W413" s="7"/>
      <c r="X413" s="6"/>
      <c r="Y413" s="6"/>
      <c r="Z413" s="6"/>
      <c r="AA413" s="6"/>
      <c r="AB413" s="6"/>
      <c r="AC413" s="6"/>
      <c r="AD413" s="6"/>
      <c r="AE413" s="6"/>
      <c r="AF413" s="6"/>
      <c r="AG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/>
      <c r="S414" s="6"/>
      <c r="T414" s="6"/>
      <c r="U414" s="6"/>
      <c r="V414" s="6"/>
      <c r="W414" s="7"/>
      <c r="X414" s="6"/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/>
      <c r="S415" s="6"/>
      <c r="T415" s="6"/>
      <c r="U415" s="6"/>
      <c r="V415" s="6"/>
      <c r="W415" s="7"/>
      <c r="X415" s="6"/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/>
      <c r="S416" s="6"/>
      <c r="T416" s="6"/>
      <c r="U416" s="6"/>
      <c r="V416" s="6"/>
      <c r="W416" s="7"/>
      <c r="X416" s="6"/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/>
      <c r="S417" s="6"/>
      <c r="T417" s="6"/>
      <c r="U417" s="6"/>
      <c r="V417" s="6"/>
      <c r="W417" s="7"/>
      <c r="X417" s="6"/>
      <c r="Y417" s="6"/>
      <c r="Z417" s="6"/>
      <c r="AA417" s="6"/>
      <c r="AB417" s="6"/>
      <c r="AC417" s="6"/>
      <c r="AD417" s="6"/>
      <c r="AE417" s="6"/>
      <c r="AF417" s="6"/>
      <c r="AG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/>
      <c r="S418" s="6"/>
      <c r="T418" s="6"/>
      <c r="U418" s="6"/>
      <c r="V418" s="6"/>
      <c r="W418" s="7"/>
      <c r="X418" s="6"/>
      <c r="Y418" s="6"/>
      <c r="Z418" s="6"/>
      <c r="AA418" s="6"/>
      <c r="AB418" s="6"/>
      <c r="AC418" s="6"/>
      <c r="AD418" s="6"/>
      <c r="AE418" s="6"/>
      <c r="AF418" s="6"/>
      <c r="AG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/>
      <c r="S419" s="6"/>
      <c r="T419" s="6"/>
      <c r="U419" s="6"/>
      <c r="V419" s="6"/>
      <c r="W419" s="7"/>
      <c r="X419" s="6"/>
      <c r="Y419" s="6"/>
      <c r="Z419" s="6"/>
      <c r="AA419" s="6"/>
      <c r="AB419" s="6"/>
      <c r="AC419" s="6"/>
      <c r="AD419" s="6"/>
      <c r="AE419" s="6"/>
      <c r="AF419" s="6"/>
      <c r="AG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/>
      <c r="S420" s="6"/>
      <c r="T420" s="6"/>
      <c r="U420" s="6"/>
      <c r="V420" s="6"/>
      <c r="W420" s="7"/>
      <c r="X420" s="6"/>
      <c r="Y420" s="6"/>
      <c r="Z420" s="6"/>
      <c r="AA420" s="6"/>
      <c r="AB420" s="6"/>
      <c r="AC420" s="6"/>
      <c r="AD420" s="6"/>
      <c r="AE420" s="6"/>
      <c r="AF420" s="6"/>
      <c r="AG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/>
      <c r="S421" s="6"/>
      <c r="T421" s="6"/>
      <c r="U421" s="6"/>
      <c r="V421" s="6"/>
      <c r="W421" s="7"/>
      <c r="X421" s="6"/>
      <c r="Y421" s="6"/>
      <c r="Z421" s="6"/>
      <c r="AA421" s="6"/>
      <c r="AB421" s="6"/>
      <c r="AC421" s="6"/>
      <c r="AD421" s="6"/>
      <c r="AE421" s="6"/>
      <c r="AF421" s="6"/>
      <c r="AG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/>
      <c r="S422" s="6"/>
      <c r="T422" s="6"/>
      <c r="U422" s="6"/>
      <c r="V422" s="6"/>
      <c r="W422" s="7"/>
      <c r="X422" s="6"/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/>
      <c r="S423" s="6"/>
      <c r="T423" s="6"/>
      <c r="U423" s="6"/>
      <c r="V423" s="6"/>
      <c r="W423" s="7"/>
      <c r="X423" s="6"/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/>
      <c r="S424" s="6"/>
      <c r="T424" s="6"/>
      <c r="U424" s="6"/>
      <c r="V424" s="6"/>
      <c r="W424" s="7"/>
      <c r="X424" s="6"/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/>
      <c r="S425" s="6"/>
      <c r="T425" s="6"/>
      <c r="U425" s="6"/>
      <c r="V425" s="6"/>
      <c r="W425" s="7"/>
      <c r="X425" s="6"/>
      <c r="Y425" s="6"/>
      <c r="Z425" s="6"/>
      <c r="AA425" s="6"/>
      <c r="AB425" s="6"/>
      <c r="AC425" s="6"/>
      <c r="AD425" s="6"/>
      <c r="AE425" s="6"/>
      <c r="AF425" s="6"/>
      <c r="AG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/>
      <c r="S426" s="6"/>
      <c r="T426" s="6"/>
      <c r="U426" s="6"/>
      <c r="V426" s="6"/>
      <c r="W426" s="7"/>
      <c r="X426" s="6"/>
      <c r="Y426" s="6"/>
      <c r="Z426" s="6"/>
      <c r="AA426" s="6"/>
      <c r="AB426" s="6"/>
      <c r="AC426" s="6"/>
      <c r="AD426" s="6"/>
      <c r="AE426" s="6"/>
      <c r="AF426" s="6"/>
      <c r="AG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/>
      <c r="S427" s="6"/>
      <c r="T427" s="6"/>
      <c r="U427" s="6"/>
      <c r="V427" s="6"/>
      <c r="W427" s="7"/>
      <c r="X427" s="6"/>
      <c r="Y427" s="6"/>
      <c r="Z427" s="6"/>
      <c r="AA427" s="6"/>
      <c r="AB427" s="6"/>
      <c r="AC427" s="6"/>
      <c r="AD427" s="6"/>
      <c r="AE427" s="6"/>
      <c r="AF427" s="6"/>
      <c r="AG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/>
      <c r="S428" s="6"/>
      <c r="T428" s="6"/>
      <c r="U428" s="6"/>
      <c r="V428" s="6"/>
      <c r="W428" s="7"/>
      <c r="X428" s="6"/>
      <c r="Y428" s="6"/>
      <c r="Z428" s="6"/>
      <c r="AA428" s="6"/>
      <c r="AB428" s="6"/>
      <c r="AC428" s="6"/>
      <c r="AD428" s="6"/>
      <c r="AE428" s="6"/>
      <c r="AF428" s="6"/>
      <c r="AG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/>
      <c r="S429" s="6"/>
      <c r="T429" s="6"/>
      <c r="U429" s="6"/>
      <c r="V429" s="6"/>
      <c r="W429" s="7"/>
      <c r="X429" s="6"/>
      <c r="Y429" s="6"/>
      <c r="Z429" s="6"/>
      <c r="AA429" s="6"/>
      <c r="AB429" s="6"/>
      <c r="AC429" s="6"/>
      <c r="AD429" s="6"/>
      <c r="AE429" s="6"/>
      <c r="AF429" s="6"/>
      <c r="AG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/>
      <c r="S430" s="6"/>
      <c r="T430" s="6"/>
      <c r="U430" s="6"/>
      <c r="V430" s="6"/>
      <c r="W430" s="7"/>
      <c r="X430" s="6"/>
      <c r="Y430" s="6"/>
      <c r="Z430" s="6"/>
      <c r="AA430" s="6"/>
      <c r="AB430" s="6"/>
      <c r="AC430" s="6"/>
      <c r="AD430" s="6"/>
      <c r="AE430" s="6"/>
      <c r="AF430" s="6"/>
      <c r="AG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/>
      <c r="S431" s="6"/>
      <c r="T431" s="6"/>
      <c r="U431" s="6"/>
      <c r="V431" s="6"/>
      <c r="W431" s="7"/>
      <c r="X431" s="6"/>
      <c r="Y431" s="6"/>
      <c r="Z431" s="6"/>
      <c r="AA431" s="6"/>
      <c r="AB431" s="6"/>
      <c r="AC431" s="6"/>
      <c r="AD431" s="6"/>
      <c r="AE431" s="6"/>
      <c r="AF431" s="6"/>
      <c r="AG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/>
      <c r="S432" s="6"/>
      <c r="T432" s="6"/>
      <c r="U432" s="6"/>
      <c r="V432" s="6"/>
      <c r="W432" s="7"/>
      <c r="X432" s="6"/>
      <c r="Y432" s="6"/>
      <c r="Z432" s="6"/>
      <c r="AA432" s="6"/>
      <c r="AB432" s="6"/>
      <c r="AC432" s="6"/>
      <c r="AD432" s="6"/>
      <c r="AE432" s="6"/>
      <c r="AF432" s="6"/>
      <c r="AG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/>
      <c r="S433" s="6"/>
      <c r="T433" s="6"/>
      <c r="U433" s="6"/>
      <c r="V433" s="6"/>
      <c r="W433" s="7"/>
      <c r="X433" s="6"/>
      <c r="Y433" s="6"/>
      <c r="Z433" s="6"/>
      <c r="AA433" s="6"/>
      <c r="AB433" s="6"/>
      <c r="AC433" s="6"/>
      <c r="AD433" s="6"/>
      <c r="AE433" s="6"/>
      <c r="AF433" s="6"/>
      <c r="AG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/>
      <c r="S434" s="6"/>
      <c r="T434" s="6"/>
      <c r="U434" s="6"/>
      <c r="V434" s="6"/>
      <c r="W434" s="7"/>
      <c r="X434" s="6"/>
      <c r="Y434" s="6"/>
      <c r="Z434" s="6"/>
      <c r="AA434" s="6"/>
      <c r="AB434" s="6"/>
      <c r="AC434" s="6"/>
      <c r="AD434" s="6"/>
      <c r="AE434" s="6"/>
      <c r="AF434" s="6"/>
      <c r="AG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/>
      <c r="S435" s="6"/>
      <c r="T435" s="6"/>
      <c r="U435" s="6"/>
      <c r="V435" s="6"/>
      <c r="W435" s="7"/>
      <c r="X435" s="6"/>
      <c r="Y435" s="6"/>
      <c r="Z435" s="6"/>
      <c r="AA435" s="6"/>
      <c r="AB435" s="6"/>
      <c r="AC435" s="6"/>
      <c r="AD435" s="6"/>
      <c r="AE435" s="6"/>
      <c r="AF435" s="6"/>
      <c r="AG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/>
      <c r="S436" s="6"/>
      <c r="T436" s="6"/>
      <c r="U436" s="6"/>
      <c r="V436" s="6"/>
      <c r="W436" s="7"/>
      <c r="X436" s="6"/>
      <c r="Y436" s="6"/>
      <c r="Z436" s="6"/>
      <c r="AA436" s="6"/>
      <c r="AB436" s="6"/>
      <c r="AC436" s="6"/>
      <c r="AD436" s="6"/>
      <c r="AE436" s="6"/>
      <c r="AF436" s="6"/>
      <c r="AG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/>
      <c r="S437" s="6"/>
      <c r="T437" s="6"/>
      <c r="U437" s="6"/>
      <c r="V437" s="6"/>
      <c r="W437" s="7"/>
      <c r="X437" s="6"/>
      <c r="Y437" s="6"/>
      <c r="Z437" s="6"/>
      <c r="AA437" s="6"/>
      <c r="AB437" s="6"/>
      <c r="AC437" s="6"/>
      <c r="AD437" s="6"/>
      <c r="AE437" s="6"/>
      <c r="AF437" s="6"/>
      <c r="AG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/>
      <c r="S438" s="6"/>
      <c r="T438" s="6"/>
      <c r="U438" s="6"/>
      <c r="V438" s="6"/>
      <c r="W438" s="7"/>
      <c r="X438" s="6"/>
      <c r="Y438" s="6"/>
      <c r="Z438" s="6"/>
      <c r="AA438" s="6"/>
      <c r="AB438" s="6"/>
      <c r="AC438" s="6"/>
      <c r="AD438" s="6"/>
      <c r="AE438" s="6"/>
      <c r="AF438" s="6"/>
      <c r="AG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/>
      <c r="S439" s="6"/>
      <c r="T439" s="6"/>
      <c r="U439" s="6"/>
      <c r="V439" s="6"/>
      <c r="W439" s="7"/>
      <c r="X439" s="6"/>
      <c r="Y439" s="6"/>
      <c r="Z439" s="6"/>
      <c r="AA439" s="6"/>
      <c r="AB439" s="6"/>
      <c r="AC439" s="6"/>
      <c r="AD439" s="6"/>
      <c r="AE439" s="6"/>
      <c r="AF439" s="6"/>
      <c r="AG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/>
      <c r="S440" s="6"/>
      <c r="T440" s="6"/>
      <c r="U440" s="6"/>
      <c r="V440" s="6"/>
      <c r="W440" s="7"/>
      <c r="X440" s="6"/>
      <c r="Y440" s="6"/>
      <c r="Z440" s="6"/>
      <c r="AA440" s="6"/>
      <c r="AB440" s="6"/>
      <c r="AC440" s="6"/>
      <c r="AD440" s="6"/>
      <c r="AE440" s="6"/>
      <c r="AF440" s="6"/>
      <c r="AG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/>
      <c r="S441" s="6"/>
      <c r="T441" s="6"/>
      <c r="U441" s="6"/>
      <c r="V441" s="6"/>
      <c r="W441" s="7"/>
      <c r="X441" s="6"/>
      <c r="Y441" s="6"/>
      <c r="Z441" s="6"/>
      <c r="AA441" s="6"/>
      <c r="AB441" s="6"/>
      <c r="AC441" s="6"/>
      <c r="AD441" s="6"/>
      <c r="AE441" s="6"/>
      <c r="AF441" s="6"/>
      <c r="AG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/>
      <c r="S442" s="6"/>
      <c r="T442" s="6"/>
      <c r="U442" s="6"/>
      <c r="V442" s="6"/>
      <c r="W442" s="7"/>
      <c r="X442" s="6"/>
      <c r="Y442" s="6"/>
      <c r="Z442" s="6"/>
      <c r="AA442" s="6"/>
      <c r="AB442" s="6"/>
      <c r="AC442" s="6"/>
      <c r="AD442" s="6"/>
      <c r="AE442" s="6"/>
      <c r="AF442" s="6"/>
      <c r="AG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/>
      <c r="S443" s="6"/>
      <c r="T443" s="6"/>
      <c r="U443" s="6"/>
      <c r="V443" s="6"/>
      <c r="W443" s="7"/>
      <c r="X443" s="6"/>
      <c r="Y443" s="6"/>
      <c r="Z443" s="6"/>
      <c r="AA443" s="6"/>
      <c r="AB443" s="6"/>
      <c r="AC443" s="6"/>
      <c r="AD443" s="6"/>
      <c r="AE443" s="6"/>
      <c r="AF443" s="6"/>
      <c r="AG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/>
      <c r="S444" s="6"/>
      <c r="T444" s="6"/>
      <c r="U444" s="6"/>
      <c r="V444" s="6"/>
      <c r="W444" s="7"/>
      <c r="X444" s="6"/>
      <c r="Y444" s="6"/>
      <c r="Z444" s="6"/>
      <c r="AA444" s="6"/>
      <c r="AB444" s="6"/>
      <c r="AC444" s="6"/>
      <c r="AD444" s="6"/>
      <c r="AE444" s="6"/>
      <c r="AF444" s="6"/>
      <c r="AG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/>
      <c r="S445" s="6"/>
      <c r="T445" s="6"/>
      <c r="U445" s="6"/>
      <c r="V445" s="6"/>
      <c r="W445" s="7"/>
      <c r="X445" s="6"/>
      <c r="Y445" s="6"/>
      <c r="Z445" s="6"/>
      <c r="AA445" s="6"/>
      <c r="AB445" s="6"/>
      <c r="AC445" s="6"/>
      <c r="AD445" s="6"/>
      <c r="AE445" s="6"/>
      <c r="AF445" s="6"/>
      <c r="AG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/>
      <c r="S446" s="6"/>
      <c r="T446" s="6"/>
      <c r="U446" s="6"/>
      <c r="V446" s="6"/>
      <c r="W446" s="7"/>
      <c r="X446" s="6"/>
      <c r="Y446" s="6"/>
      <c r="Z446" s="6"/>
      <c r="AA446" s="6"/>
      <c r="AB446" s="6"/>
      <c r="AC446" s="6"/>
      <c r="AD446" s="6"/>
      <c r="AE446" s="6"/>
      <c r="AF446" s="6"/>
      <c r="AG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/>
      <c r="S447" s="6"/>
      <c r="T447" s="6"/>
      <c r="U447" s="6"/>
      <c r="V447" s="6"/>
      <c r="W447" s="7"/>
      <c r="X447" s="6"/>
      <c r="Y447" s="6"/>
      <c r="Z447" s="6"/>
      <c r="AA447" s="6"/>
      <c r="AB447" s="6"/>
      <c r="AC447" s="6"/>
      <c r="AD447" s="6"/>
      <c r="AE447" s="6"/>
      <c r="AF447" s="6"/>
      <c r="AG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/>
      <c r="S448" s="6"/>
      <c r="T448" s="6"/>
      <c r="U448" s="6"/>
      <c r="V448" s="6"/>
      <c r="W448" s="7"/>
      <c r="X448" s="6"/>
      <c r="Y448" s="6"/>
      <c r="Z448" s="6"/>
      <c r="AA448" s="6"/>
      <c r="AB448" s="6"/>
      <c r="AC448" s="6"/>
      <c r="AD448" s="6"/>
      <c r="AE448" s="6"/>
      <c r="AF448" s="6"/>
      <c r="AG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/>
      <c r="S449" s="6"/>
      <c r="T449" s="6"/>
      <c r="U449" s="6"/>
      <c r="V449" s="6"/>
      <c r="W449" s="7"/>
      <c r="X449" s="6"/>
      <c r="Y449" s="6"/>
      <c r="Z449" s="6"/>
      <c r="AA449" s="6"/>
      <c r="AB449" s="6"/>
      <c r="AC449" s="6"/>
      <c r="AD449" s="6"/>
      <c r="AE449" s="6"/>
      <c r="AF449" s="6"/>
      <c r="AG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/>
      <c r="S450" s="6"/>
      <c r="T450" s="6"/>
      <c r="U450" s="6"/>
      <c r="V450" s="6"/>
      <c r="W450" s="7"/>
      <c r="X450" s="6"/>
      <c r="Y450" s="6"/>
      <c r="Z450" s="6"/>
      <c r="AA450" s="6"/>
      <c r="AB450" s="6"/>
      <c r="AC450" s="6"/>
      <c r="AD450" s="6"/>
      <c r="AE450" s="6"/>
      <c r="AF450" s="6"/>
      <c r="AG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/>
      <c r="S451" s="6"/>
      <c r="T451" s="6"/>
      <c r="U451" s="6"/>
      <c r="V451" s="6"/>
      <c r="W451" s="7"/>
      <c r="X451" s="6"/>
      <c r="Y451" s="6"/>
      <c r="Z451" s="6"/>
      <c r="AA451" s="6"/>
      <c r="AB451" s="6"/>
      <c r="AC451" s="6"/>
      <c r="AD451" s="6"/>
      <c r="AE451" s="6"/>
      <c r="AF451" s="6"/>
      <c r="AG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/>
      <c r="S452" s="6"/>
      <c r="T452" s="6"/>
      <c r="U452" s="6"/>
      <c r="V452" s="6"/>
      <c r="W452" s="7"/>
      <c r="X452" s="6"/>
      <c r="Y452" s="6"/>
      <c r="Z452" s="6"/>
      <c r="AA452" s="6"/>
      <c r="AB452" s="6"/>
      <c r="AC452" s="6"/>
      <c r="AD452" s="6"/>
      <c r="AE452" s="6"/>
      <c r="AF452" s="6"/>
      <c r="AG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/>
      <c r="S453" s="6"/>
      <c r="T453" s="6"/>
      <c r="U453" s="6"/>
      <c r="V453" s="6"/>
      <c r="W453" s="7"/>
      <c r="X453" s="6"/>
      <c r="Y453" s="6"/>
      <c r="Z453" s="6"/>
      <c r="AA453" s="6"/>
      <c r="AB453" s="6"/>
      <c r="AC453" s="6"/>
      <c r="AD453" s="6"/>
      <c r="AE453" s="6"/>
      <c r="AF453" s="6"/>
      <c r="AG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/>
      <c r="S454" s="6"/>
      <c r="T454" s="6"/>
      <c r="U454" s="6"/>
      <c r="V454" s="6"/>
      <c r="W454" s="7"/>
      <c r="X454" s="6"/>
      <c r="Y454" s="6"/>
      <c r="Z454" s="6"/>
      <c r="AA454" s="6"/>
      <c r="AB454" s="6"/>
      <c r="AC454" s="6"/>
      <c r="AD454" s="6"/>
      <c r="AE454" s="6"/>
      <c r="AF454" s="6"/>
      <c r="AG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/>
      <c r="S455" s="6"/>
      <c r="T455" s="6"/>
      <c r="U455" s="6"/>
      <c r="V455" s="6"/>
      <c r="W455" s="7"/>
      <c r="X455" s="6"/>
      <c r="Y455" s="6"/>
      <c r="Z455" s="6"/>
      <c r="AA455" s="6"/>
      <c r="AB455" s="6"/>
      <c r="AC455" s="6"/>
      <c r="AD455" s="6"/>
      <c r="AE455" s="6"/>
      <c r="AF455" s="6"/>
      <c r="AG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/>
      <c r="S456" s="6"/>
      <c r="T456" s="6"/>
      <c r="U456" s="6"/>
      <c r="V456" s="6"/>
      <c r="W456" s="7"/>
      <c r="X456" s="6"/>
      <c r="Y456" s="6"/>
      <c r="Z456" s="6"/>
      <c r="AA456" s="6"/>
      <c r="AB456" s="6"/>
      <c r="AC456" s="6"/>
      <c r="AD456" s="6"/>
      <c r="AE456" s="6"/>
      <c r="AF456" s="6"/>
      <c r="AG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7"/>
      <c r="S457" s="6"/>
      <c r="T457" s="6"/>
      <c r="U457" s="6"/>
      <c r="V457" s="6"/>
      <c r="W457" s="7"/>
      <c r="X457" s="6"/>
      <c r="Y457" s="6"/>
      <c r="Z457" s="6"/>
      <c r="AA457" s="6"/>
      <c r="AB457" s="6"/>
      <c r="AC457" s="6"/>
      <c r="AD457" s="6"/>
      <c r="AE457" s="6"/>
      <c r="AF457" s="6"/>
      <c r="AG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7"/>
      <c r="S458" s="6"/>
      <c r="T458" s="6"/>
      <c r="U458" s="6"/>
      <c r="V458" s="6"/>
      <c r="W458" s="7"/>
      <c r="X458" s="6"/>
      <c r="Y458" s="6"/>
      <c r="Z458" s="6"/>
      <c r="AA458" s="6"/>
      <c r="AB458" s="6"/>
      <c r="AC458" s="6"/>
      <c r="AD458" s="6"/>
      <c r="AE458" s="6"/>
      <c r="AF458" s="6"/>
      <c r="AG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7"/>
      <c r="S459" s="6"/>
      <c r="T459" s="6"/>
      <c r="U459" s="6"/>
      <c r="V459" s="6"/>
      <c r="W459" s="7"/>
      <c r="X459" s="6"/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/>
      <c r="S460" s="6"/>
      <c r="T460" s="6"/>
      <c r="U460" s="6"/>
      <c r="V460" s="6"/>
      <c r="W460" s="7"/>
      <c r="X460" s="6"/>
      <c r="Y460" s="6"/>
      <c r="Z460" s="6"/>
      <c r="AA460" s="6"/>
      <c r="AB460" s="6"/>
      <c r="AC460" s="6"/>
      <c r="AD460" s="6"/>
      <c r="AE460" s="6"/>
      <c r="AF460" s="6"/>
      <c r="AG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/>
      <c r="S461" s="6"/>
      <c r="T461" s="6"/>
      <c r="U461" s="6"/>
      <c r="V461" s="6"/>
      <c r="W461" s="7"/>
      <c r="X461" s="6"/>
      <c r="Y461" s="6"/>
      <c r="Z461" s="6"/>
      <c r="AA461" s="6"/>
      <c r="AB461" s="6"/>
      <c r="AC461" s="6"/>
      <c r="AD461" s="6"/>
      <c r="AE461" s="6"/>
      <c r="AF461" s="6"/>
      <c r="AG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/>
      <c r="S462" s="6"/>
      <c r="T462" s="6"/>
      <c r="U462" s="6"/>
      <c r="V462" s="6"/>
      <c r="W462" s="7"/>
      <c r="X462" s="6"/>
      <c r="Y462" s="6"/>
      <c r="Z462" s="6"/>
      <c r="AA462" s="6"/>
      <c r="AB462" s="6"/>
      <c r="AC462" s="6"/>
      <c r="AD462" s="6"/>
      <c r="AE462" s="6"/>
      <c r="AF462" s="6"/>
      <c r="AG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/>
      <c r="S463" s="6"/>
      <c r="T463" s="6"/>
      <c r="U463" s="6"/>
      <c r="V463" s="6"/>
      <c r="W463" s="7"/>
      <c r="X463" s="6"/>
      <c r="Y463" s="6"/>
      <c r="Z463" s="6"/>
      <c r="AA463" s="6"/>
      <c r="AB463" s="6"/>
      <c r="AC463" s="6"/>
      <c r="AD463" s="6"/>
      <c r="AE463" s="6"/>
      <c r="AF463" s="6"/>
      <c r="AG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/>
      <c r="S464" s="6"/>
      <c r="T464" s="6"/>
      <c r="U464" s="6"/>
      <c r="V464" s="6"/>
      <c r="W464" s="7"/>
      <c r="X464" s="6"/>
      <c r="Y464" s="6"/>
      <c r="Z464" s="6"/>
      <c r="AA464" s="6"/>
      <c r="AB464" s="6"/>
      <c r="AC464" s="6"/>
      <c r="AD464" s="6"/>
      <c r="AE464" s="6"/>
      <c r="AF464" s="6"/>
      <c r="AG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/>
      <c r="S465" s="6"/>
      <c r="T465" s="6"/>
      <c r="U465" s="6"/>
      <c r="V465" s="6"/>
      <c r="W465" s="7"/>
      <c r="X465" s="6"/>
      <c r="Y465" s="6"/>
      <c r="Z465" s="6"/>
      <c r="AA465" s="6"/>
      <c r="AB465" s="6"/>
      <c r="AC465" s="6"/>
      <c r="AD465" s="6"/>
      <c r="AE465" s="6"/>
      <c r="AF465" s="6"/>
      <c r="AG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/>
      <c r="S466" s="6"/>
      <c r="T466" s="6"/>
      <c r="U466" s="6"/>
      <c r="V466" s="6"/>
      <c r="W466" s="7"/>
      <c r="X466" s="6"/>
      <c r="Y466" s="6"/>
      <c r="Z466" s="6"/>
      <c r="AA466" s="6"/>
      <c r="AB466" s="6"/>
      <c r="AC466" s="6"/>
      <c r="AD466" s="6"/>
      <c r="AE466" s="6"/>
      <c r="AF466" s="6"/>
      <c r="AG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/>
      <c r="S467" s="6"/>
      <c r="T467" s="6"/>
      <c r="U467" s="6"/>
      <c r="V467" s="6"/>
      <c r="W467" s="7"/>
      <c r="X467" s="6"/>
      <c r="Y467" s="6"/>
      <c r="Z467" s="6"/>
      <c r="AA467" s="6"/>
      <c r="AB467" s="6"/>
      <c r="AC467" s="6"/>
      <c r="AD467" s="6"/>
      <c r="AE467" s="6"/>
      <c r="AF467" s="6"/>
      <c r="AG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/>
      <c r="S468" s="6"/>
      <c r="T468" s="6"/>
      <c r="U468" s="6"/>
      <c r="V468" s="6"/>
      <c r="W468" s="7"/>
      <c r="X468" s="6"/>
      <c r="Y468" s="6"/>
      <c r="Z468" s="6"/>
      <c r="AA468" s="6"/>
      <c r="AB468" s="6"/>
      <c r="AC468" s="6"/>
      <c r="AD468" s="6"/>
      <c r="AE468" s="6"/>
      <c r="AF468" s="6"/>
      <c r="AG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/>
      <c r="S469" s="6"/>
      <c r="T469" s="6"/>
      <c r="U469" s="6"/>
      <c r="V469" s="6"/>
      <c r="W469" s="7"/>
      <c r="X469" s="6"/>
      <c r="Y469" s="6"/>
      <c r="Z469" s="6"/>
      <c r="AA469" s="6"/>
      <c r="AB469" s="6"/>
      <c r="AC469" s="6"/>
      <c r="AD469" s="6"/>
      <c r="AE469" s="6"/>
      <c r="AF469" s="6"/>
      <c r="AG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/>
      <c r="S470" s="6"/>
      <c r="T470" s="6"/>
      <c r="U470" s="6"/>
      <c r="V470" s="6"/>
      <c r="W470" s="7"/>
      <c r="X470" s="6"/>
      <c r="Y470" s="6"/>
      <c r="Z470" s="6"/>
      <c r="AA470" s="6"/>
      <c r="AB470" s="6"/>
      <c r="AC470" s="6"/>
      <c r="AD470" s="6"/>
      <c r="AE470" s="6"/>
      <c r="AF470" s="6"/>
      <c r="AG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/>
      <c r="S471" s="6"/>
      <c r="T471" s="6"/>
      <c r="U471" s="6"/>
      <c r="V471" s="6"/>
      <c r="W471" s="7"/>
      <c r="X471" s="6"/>
      <c r="Y471" s="6"/>
      <c r="Z471" s="6"/>
      <c r="AA471" s="6"/>
      <c r="AB471" s="6"/>
      <c r="AC471" s="6"/>
      <c r="AD471" s="6"/>
      <c r="AE471" s="6"/>
      <c r="AF471" s="6"/>
      <c r="AG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/>
      <c r="S472" s="6"/>
      <c r="T472" s="6"/>
      <c r="U472" s="6"/>
      <c r="V472" s="6"/>
      <c r="W472" s="7"/>
      <c r="X472" s="6"/>
      <c r="Y472" s="6"/>
      <c r="Z472" s="6"/>
      <c r="AA472" s="6"/>
      <c r="AB472" s="6"/>
      <c r="AC472" s="6"/>
      <c r="AD472" s="6"/>
      <c r="AE472" s="6"/>
      <c r="AF472" s="6"/>
      <c r="AG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/>
      <c r="S473" s="6"/>
      <c r="T473" s="6"/>
      <c r="U473" s="6"/>
      <c r="V473" s="6"/>
      <c r="W473" s="7"/>
      <c r="X473" s="6"/>
      <c r="Y473" s="6"/>
      <c r="Z473" s="6"/>
      <c r="AA473" s="6"/>
      <c r="AB473" s="6"/>
      <c r="AC473" s="6"/>
      <c r="AD473" s="6"/>
      <c r="AE473" s="6"/>
      <c r="AF473" s="6"/>
      <c r="AG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/>
      <c r="S474" s="6"/>
      <c r="T474" s="6"/>
      <c r="U474" s="6"/>
      <c r="V474" s="6"/>
      <c r="W474" s="7"/>
      <c r="X474" s="6"/>
      <c r="Y474" s="6"/>
      <c r="Z474" s="6"/>
      <c r="AA474" s="6"/>
      <c r="AB474" s="6"/>
      <c r="AC474" s="6"/>
      <c r="AD474" s="6"/>
      <c r="AE474" s="6"/>
      <c r="AF474" s="6"/>
      <c r="AG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/>
      <c r="S475" s="6"/>
      <c r="T475" s="6"/>
      <c r="U475" s="6"/>
      <c r="V475" s="6"/>
      <c r="W475" s="7"/>
      <c r="X475" s="6"/>
      <c r="Y475" s="6"/>
      <c r="Z475" s="6"/>
      <c r="AA475" s="6"/>
      <c r="AB475" s="6"/>
      <c r="AC475" s="6"/>
      <c r="AD475" s="6"/>
      <c r="AE475" s="6"/>
      <c r="AF475" s="6"/>
      <c r="AG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/>
      <c r="S476" s="6"/>
      <c r="T476" s="6"/>
      <c r="U476" s="6"/>
      <c r="V476" s="6"/>
      <c r="W476" s="7"/>
      <c r="X476" s="6"/>
      <c r="Y476" s="6"/>
      <c r="Z476" s="6"/>
      <c r="AA476" s="6"/>
      <c r="AB476" s="6"/>
      <c r="AC476" s="6"/>
      <c r="AD476" s="6"/>
      <c r="AE476" s="6"/>
      <c r="AF476" s="6"/>
      <c r="AG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/>
      <c r="S477" s="6"/>
      <c r="T477" s="6"/>
      <c r="U477" s="6"/>
      <c r="V477" s="6"/>
      <c r="W477" s="7"/>
      <c r="X477" s="6"/>
      <c r="Y477" s="6"/>
      <c r="Z477" s="6"/>
      <c r="AA477" s="6"/>
      <c r="AB477" s="6"/>
      <c r="AC477" s="6"/>
      <c r="AD477" s="6"/>
      <c r="AE477" s="6"/>
      <c r="AF477" s="6"/>
      <c r="AG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7"/>
      <c r="S478" s="6"/>
      <c r="T478" s="6"/>
      <c r="U478" s="6"/>
      <c r="V478" s="6"/>
      <c r="W478" s="7"/>
      <c r="X478" s="6"/>
      <c r="Y478" s="6"/>
      <c r="Z478" s="6"/>
      <c r="AA478" s="6"/>
      <c r="AB478" s="6"/>
      <c r="AC478" s="6"/>
      <c r="AD478" s="6"/>
      <c r="AE478" s="6"/>
      <c r="AF478" s="6"/>
      <c r="AG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7"/>
      <c r="S479" s="6"/>
      <c r="T479" s="6"/>
      <c r="U479" s="6"/>
      <c r="V479" s="6"/>
      <c r="W479" s="7"/>
      <c r="X479" s="6"/>
      <c r="Y479" s="6"/>
      <c r="Z479" s="6"/>
      <c r="AA479" s="6"/>
      <c r="AB479" s="6"/>
      <c r="AC479" s="6"/>
      <c r="AD479" s="6"/>
      <c r="AE479" s="6"/>
      <c r="AF479" s="6"/>
      <c r="AG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7"/>
      <c r="S480" s="6"/>
      <c r="T480" s="6"/>
      <c r="U480" s="6"/>
      <c r="V480" s="6"/>
      <c r="W480" s="7"/>
      <c r="X480" s="6"/>
      <c r="Y480" s="6"/>
      <c r="Z480" s="6"/>
      <c r="AA480" s="6"/>
      <c r="AB480" s="6"/>
      <c r="AC480" s="6"/>
      <c r="AD480" s="6"/>
      <c r="AE480" s="6"/>
      <c r="AF480" s="6"/>
      <c r="AG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7"/>
      <c r="S481" s="6"/>
      <c r="T481" s="6"/>
      <c r="U481" s="6"/>
      <c r="V481" s="6"/>
      <c r="W481" s="7"/>
      <c r="X481" s="6"/>
      <c r="Y481" s="6"/>
      <c r="Z481" s="6"/>
      <c r="AA481" s="6"/>
      <c r="AB481" s="6"/>
      <c r="AC481" s="6"/>
      <c r="AD481" s="6"/>
      <c r="AE481" s="6"/>
      <c r="AF481" s="6"/>
      <c r="AG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7"/>
      <c r="S482" s="6"/>
      <c r="T482" s="6"/>
      <c r="U482" s="6"/>
      <c r="V482" s="6"/>
      <c r="W482" s="7"/>
      <c r="X482" s="6"/>
      <c r="Y482" s="6"/>
      <c r="Z482" s="6"/>
      <c r="AA482" s="6"/>
      <c r="AB482" s="6"/>
      <c r="AC482" s="6"/>
      <c r="AD482" s="6"/>
      <c r="AE482" s="6"/>
      <c r="AF482" s="6"/>
      <c r="AG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/>
      <c r="S483" s="6"/>
      <c r="T483" s="6"/>
      <c r="U483" s="6"/>
      <c r="V483" s="6"/>
      <c r="W483" s="7"/>
      <c r="X483" s="6"/>
      <c r="Y483" s="6"/>
      <c r="Z483" s="6"/>
      <c r="AA483" s="6"/>
      <c r="AB483" s="6"/>
      <c r="AC483" s="6"/>
      <c r="AD483" s="6"/>
      <c r="AE483" s="6"/>
      <c r="AF483" s="6"/>
      <c r="AG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7"/>
      <c r="S484" s="6"/>
      <c r="T484" s="6"/>
      <c r="U484" s="6"/>
      <c r="V484" s="6"/>
      <c r="W484" s="7"/>
      <c r="X484" s="6"/>
      <c r="Y484" s="6"/>
      <c r="Z484" s="6"/>
      <c r="AA484" s="6"/>
      <c r="AB484" s="6"/>
      <c r="AC484" s="6"/>
      <c r="AD484" s="6"/>
      <c r="AE484" s="6"/>
      <c r="AF484" s="6"/>
      <c r="AG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/>
      <c r="S485" s="6"/>
      <c r="T485" s="6"/>
      <c r="U485" s="6"/>
      <c r="V485" s="6"/>
      <c r="W485" s="7"/>
      <c r="X485" s="6"/>
      <c r="Y485" s="6"/>
      <c r="Z485" s="6"/>
      <c r="AA485" s="6"/>
      <c r="AB485" s="6"/>
      <c r="AC485" s="6"/>
      <c r="AD485" s="6"/>
      <c r="AE485" s="6"/>
      <c r="AF485" s="6"/>
      <c r="AG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/>
      <c r="S486" s="6"/>
      <c r="T486" s="6"/>
      <c r="U486" s="6"/>
      <c r="V486" s="6"/>
      <c r="W486" s="7"/>
      <c r="X486" s="6"/>
      <c r="Y486" s="6"/>
      <c r="Z486" s="6"/>
      <c r="AA486" s="6"/>
      <c r="AB486" s="6"/>
      <c r="AC486" s="6"/>
      <c r="AD486" s="6"/>
      <c r="AE486" s="6"/>
      <c r="AF486" s="6"/>
      <c r="AG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/>
      <c r="S487" s="6"/>
      <c r="T487" s="6"/>
      <c r="U487" s="6"/>
      <c r="V487" s="6"/>
      <c r="W487" s="7"/>
      <c r="X487" s="6"/>
      <c r="Y487" s="6"/>
      <c r="Z487" s="6"/>
      <c r="AA487" s="6"/>
      <c r="AB487" s="6"/>
      <c r="AC487" s="6"/>
      <c r="AD487" s="6"/>
      <c r="AE487" s="6"/>
      <c r="AF487" s="6"/>
      <c r="AG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/>
      <c r="S488" s="6"/>
      <c r="T488" s="6"/>
      <c r="U488" s="6"/>
      <c r="V488" s="6"/>
      <c r="W488" s="7"/>
      <c r="X488" s="6"/>
      <c r="Y488" s="6"/>
      <c r="Z488" s="6"/>
      <c r="AA488" s="6"/>
      <c r="AB488" s="6"/>
      <c r="AC488" s="6"/>
      <c r="AD488" s="6"/>
      <c r="AE488" s="6"/>
      <c r="AF488" s="6"/>
      <c r="AG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/>
      <c r="S489" s="6"/>
      <c r="T489" s="6"/>
      <c r="U489" s="6"/>
      <c r="V489" s="6"/>
      <c r="W489" s="7"/>
      <c r="X489" s="6"/>
      <c r="Y489" s="6"/>
      <c r="Z489" s="6"/>
      <c r="AA489" s="6"/>
      <c r="AB489" s="6"/>
      <c r="AC489" s="6"/>
      <c r="AD489" s="6"/>
      <c r="AE489" s="6"/>
      <c r="AF489" s="6"/>
      <c r="AG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/>
      <c r="S490" s="6"/>
      <c r="T490" s="6"/>
      <c r="U490" s="6"/>
      <c r="V490" s="6"/>
      <c r="W490" s="7"/>
      <c r="X490" s="6"/>
      <c r="Y490" s="6"/>
      <c r="Z490" s="6"/>
      <c r="AA490" s="6"/>
      <c r="AB490" s="6"/>
      <c r="AC490" s="6"/>
      <c r="AD490" s="6"/>
      <c r="AE490" s="6"/>
      <c r="AF490" s="6"/>
      <c r="AG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/>
      <c r="S491" s="6"/>
      <c r="T491" s="6"/>
      <c r="U491" s="6"/>
      <c r="V491" s="6"/>
      <c r="W491" s="7"/>
      <c r="X491" s="6"/>
      <c r="Y491" s="6"/>
      <c r="Z491" s="6"/>
      <c r="AA491" s="6"/>
      <c r="AB491" s="6"/>
      <c r="AC491" s="6"/>
      <c r="AD491" s="6"/>
      <c r="AE491" s="6"/>
      <c r="AF491" s="6"/>
      <c r="AG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/>
      <c r="S492" s="6"/>
      <c r="T492" s="6"/>
      <c r="U492" s="6"/>
      <c r="V492" s="6"/>
      <c r="W492" s="7"/>
      <c r="X492" s="6"/>
      <c r="Y492" s="6"/>
      <c r="Z492" s="6"/>
      <c r="AA492" s="6"/>
      <c r="AB492" s="6"/>
      <c r="AC492" s="6"/>
      <c r="AD492" s="6"/>
      <c r="AE492" s="6"/>
      <c r="AF492" s="6"/>
      <c r="AG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/>
      <c r="S493" s="6"/>
      <c r="T493" s="6"/>
      <c r="U493" s="6"/>
      <c r="V493" s="6"/>
      <c r="W493" s="7"/>
      <c r="X493" s="6"/>
      <c r="Y493" s="6"/>
      <c r="Z493" s="6"/>
      <c r="AA493" s="6"/>
      <c r="AB493" s="6"/>
      <c r="AC493" s="6"/>
      <c r="AD493" s="6"/>
      <c r="AE493" s="6"/>
      <c r="AF493" s="6"/>
      <c r="AG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/>
      <c r="S494" s="6"/>
      <c r="T494" s="6"/>
      <c r="U494" s="6"/>
      <c r="V494" s="6"/>
      <c r="W494" s="7"/>
      <c r="X494" s="6"/>
      <c r="Y494" s="6"/>
      <c r="Z494" s="6"/>
      <c r="AA494" s="6"/>
      <c r="AB494" s="6"/>
      <c r="AC494" s="6"/>
      <c r="AD494" s="6"/>
      <c r="AE494" s="6"/>
      <c r="AF494" s="6"/>
      <c r="AG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/>
      <c r="S495" s="6"/>
      <c r="T495" s="6"/>
      <c r="U495" s="6"/>
      <c r="V495" s="6"/>
      <c r="W495" s="7"/>
      <c r="X495" s="6"/>
      <c r="Y495" s="6"/>
      <c r="Z495" s="6"/>
      <c r="AA495" s="6"/>
      <c r="AB495" s="6"/>
      <c r="AC495" s="6"/>
      <c r="AD495" s="6"/>
      <c r="AE495" s="6"/>
      <c r="AF495" s="6"/>
      <c r="AG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/>
      <c r="S496" s="6"/>
      <c r="T496" s="6"/>
      <c r="U496" s="6"/>
      <c r="V496" s="6"/>
      <c r="W496" s="7"/>
      <c r="X496" s="6"/>
      <c r="Y496" s="6"/>
      <c r="Z496" s="6"/>
      <c r="AA496" s="6"/>
      <c r="AB496" s="6"/>
      <c r="AC496" s="6"/>
      <c r="AD496" s="6"/>
      <c r="AE496" s="6"/>
      <c r="AF496" s="6"/>
      <c r="AG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/>
      <c r="S497" s="6"/>
      <c r="T497" s="6"/>
      <c r="U497" s="6"/>
      <c r="V497" s="6"/>
      <c r="W497" s="7"/>
      <c r="X497" s="6"/>
      <c r="Y497" s="6"/>
      <c r="Z497" s="6"/>
      <c r="AA497" s="6"/>
      <c r="AB497" s="6"/>
      <c r="AC497" s="6"/>
      <c r="AD497" s="6"/>
      <c r="AE497" s="6"/>
      <c r="AF497" s="6"/>
      <c r="AG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/>
      <c r="S498" s="6"/>
      <c r="T498" s="6"/>
      <c r="U498" s="6"/>
      <c r="V498" s="6"/>
      <c r="W498" s="7"/>
      <c r="X498" s="6"/>
      <c r="Y498" s="6"/>
      <c r="Z498" s="6"/>
      <c r="AA498" s="6"/>
      <c r="AB498" s="6"/>
      <c r="AC498" s="6"/>
      <c r="AD498" s="6"/>
      <c r="AE498" s="6"/>
      <c r="AF498" s="6"/>
      <c r="AG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/>
      <c r="S499" s="6"/>
      <c r="T499" s="6"/>
      <c r="U499" s="6"/>
      <c r="V499" s="6"/>
      <c r="W499" s="7"/>
      <c r="X499" s="6"/>
      <c r="Y499" s="6"/>
      <c r="Z499" s="6"/>
      <c r="AA499" s="6"/>
      <c r="AB499" s="6"/>
      <c r="AC499" s="6"/>
      <c r="AD499" s="6"/>
      <c r="AE499" s="6"/>
      <c r="AF499" s="6"/>
      <c r="AG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/>
      <c r="S500" s="6"/>
      <c r="T500" s="6"/>
      <c r="U500" s="6"/>
      <c r="V500" s="6"/>
      <c r="W500" s="7"/>
      <c r="X500" s="6"/>
      <c r="Y500" s="6"/>
      <c r="Z500" s="6"/>
      <c r="AA500" s="6"/>
      <c r="AB500" s="6"/>
      <c r="AC500" s="6"/>
      <c r="AD500" s="6"/>
      <c r="AE500" s="6"/>
      <c r="AF500" s="6"/>
      <c r="AG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/>
      <c r="S501" s="6"/>
      <c r="T501" s="6"/>
      <c r="U501" s="6"/>
      <c r="V501" s="6"/>
      <c r="W501" s="7"/>
      <c r="X501" s="6"/>
      <c r="Y501" s="6"/>
      <c r="Z501" s="6"/>
      <c r="AA501" s="6"/>
      <c r="AB501" s="6"/>
      <c r="AC501" s="6"/>
      <c r="AD501" s="6"/>
      <c r="AE501" s="6"/>
      <c r="AF501" s="6"/>
      <c r="AG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/>
      <c r="S502" s="6"/>
      <c r="T502" s="6"/>
      <c r="U502" s="6"/>
      <c r="V502" s="6"/>
      <c r="W502" s="7"/>
      <c r="X502" s="6"/>
      <c r="Y502" s="6"/>
      <c r="Z502" s="6"/>
      <c r="AA502" s="6"/>
      <c r="AB502" s="6"/>
      <c r="AC502" s="6"/>
      <c r="AD502" s="6"/>
      <c r="AE502" s="6"/>
      <c r="AF502" s="6"/>
      <c r="AG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/>
      <c r="S503" s="6"/>
      <c r="T503" s="6"/>
      <c r="U503" s="6"/>
      <c r="V503" s="6"/>
      <c r="W503" s="7"/>
      <c r="X503" s="6"/>
      <c r="Y503" s="6"/>
      <c r="Z503" s="6"/>
      <c r="AA503" s="6"/>
      <c r="AB503" s="6"/>
      <c r="AC503" s="6"/>
      <c r="AD503" s="6"/>
      <c r="AE503" s="6"/>
      <c r="AF503" s="6"/>
      <c r="AG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/>
      <c r="S504" s="6"/>
      <c r="T504" s="6"/>
      <c r="U504" s="6"/>
      <c r="V504" s="6"/>
      <c r="W504" s="7"/>
      <c r="X504" s="6"/>
      <c r="Y504" s="6"/>
      <c r="Z504" s="6"/>
      <c r="AA504" s="6"/>
      <c r="AB504" s="6"/>
      <c r="AC504" s="6"/>
      <c r="AD504" s="6"/>
      <c r="AE504" s="6"/>
      <c r="AF504" s="6"/>
      <c r="AG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/>
      <c r="S505" s="6"/>
      <c r="T505" s="6"/>
      <c r="U505" s="6"/>
      <c r="V505" s="6"/>
      <c r="W505" s="7"/>
      <c r="X505" s="6"/>
      <c r="Y505" s="6"/>
      <c r="Z505" s="6"/>
      <c r="AA505" s="6"/>
      <c r="AB505" s="6"/>
      <c r="AC505" s="6"/>
      <c r="AD505" s="6"/>
      <c r="AE505" s="6"/>
      <c r="AF505" s="6"/>
      <c r="AG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/>
      <c r="S506" s="6"/>
      <c r="T506" s="6"/>
      <c r="U506" s="6"/>
      <c r="V506" s="6"/>
      <c r="W506" s="7"/>
      <c r="X506" s="6"/>
      <c r="Y506" s="6"/>
      <c r="Z506" s="6"/>
      <c r="AA506" s="6"/>
      <c r="AB506" s="6"/>
      <c r="AC506" s="6"/>
      <c r="AD506" s="6"/>
      <c r="AE506" s="6"/>
      <c r="AF506" s="6"/>
      <c r="AG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/>
      <c r="S507" s="6"/>
      <c r="T507" s="6"/>
      <c r="U507" s="6"/>
      <c r="V507" s="6"/>
      <c r="W507" s="7"/>
      <c r="X507" s="6"/>
      <c r="Y507" s="6"/>
      <c r="Z507" s="6"/>
      <c r="AA507" s="6"/>
      <c r="AB507" s="6"/>
      <c r="AC507" s="6"/>
      <c r="AD507" s="6"/>
      <c r="AE507" s="6"/>
      <c r="AF507" s="6"/>
      <c r="AG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/>
      <c r="S508" s="6"/>
      <c r="T508" s="6"/>
      <c r="U508" s="6"/>
      <c r="V508" s="6"/>
      <c r="W508" s="7"/>
      <c r="X508" s="6"/>
      <c r="Y508" s="6"/>
      <c r="Z508" s="6"/>
      <c r="AA508" s="6"/>
      <c r="AB508" s="6"/>
      <c r="AC508" s="6"/>
      <c r="AD508" s="6"/>
      <c r="AE508" s="6"/>
      <c r="AF508" s="6"/>
      <c r="AG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/>
      <c r="S509" s="6"/>
      <c r="T509" s="6"/>
      <c r="U509" s="6"/>
      <c r="V509" s="6"/>
      <c r="W509" s="7"/>
      <c r="X509" s="6"/>
      <c r="Y509" s="6"/>
      <c r="Z509" s="6"/>
      <c r="AA509" s="6"/>
      <c r="AB509" s="6"/>
      <c r="AC509" s="6"/>
      <c r="AD509" s="6"/>
      <c r="AE509" s="6"/>
      <c r="AF509" s="6"/>
      <c r="AG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/>
      <c r="S510" s="6"/>
      <c r="T510" s="6"/>
      <c r="U510" s="6"/>
      <c r="V510" s="6"/>
      <c r="W510" s="7"/>
      <c r="X510" s="6"/>
      <c r="Y510" s="6"/>
      <c r="Z510" s="6"/>
      <c r="AA510" s="6"/>
      <c r="AB510" s="6"/>
      <c r="AC510" s="6"/>
      <c r="AD510" s="6"/>
      <c r="AE510" s="6"/>
      <c r="AF510" s="6"/>
      <c r="AG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/>
      <c r="S511" s="6"/>
      <c r="T511" s="6"/>
      <c r="U511" s="6"/>
      <c r="V511" s="6"/>
      <c r="W511" s="7"/>
      <c r="X511" s="6"/>
      <c r="Y511" s="6"/>
      <c r="Z511" s="6"/>
      <c r="AA511" s="6"/>
      <c r="AB511" s="6"/>
      <c r="AC511" s="6"/>
      <c r="AD511" s="6"/>
      <c r="AE511" s="6"/>
      <c r="AF511" s="6"/>
      <c r="AG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/>
      <c r="S512" s="6"/>
      <c r="T512" s="6"/>
      <c r="U512" s="6"/>
      <c r="V512" s="6"/>
      <c r="W512" s="7"/>
      <c r="X512" s="6"/>
      <c r="Y512" s="6"/>
      <c r="Z512" s="6"/>
      <c r="AA512" s="6"/>
      <c r="AB512" s="6"/>
      <c r="AC512" s="6"/>
      <c r="AD512" s="6"/>
      <c r="AE512" s="6"/>
      <c r="AF512" s="6"/>
      <c r="AG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7"/>
      <c r="S513" s="6"/>
      <c r="T513" s="6"/>
      <c r="U513" s="6"/>
      <c r="V513" s="6"/>
      <c r="W513" s="7"/>
      <c r="X513" s="6"/>
      <c r="Y513" s="6"/>
      <c r="Z513" s="6"/>
      <c r="AA513" s="6"/>
      <c r="AB513" s="6"/>
      <c r="AC513" s="6"/>
      <c r="AD513" s="6"/>
      <c r="AE513" s="6"/>
      <c r="AF513" s="6"/>
      <c r="AG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7"/>
      <c r="S514" s="6"/>
      <c r="T514" s="6"/>
      <c r="U514" s="6"/>
      <c r="V514" s="6"/>
      <c r="W514" s="7"/>
      <c r="X514" s="6"/>
      <c r="Y514" s="6"/>
      <c r="Z514" s="6"/>
      <c r="AA514" s="6"/>
      <c r="AB514" s="6"/>
      <c r="AC514" s="6"/>
      <c r="AD514" s="6"/>
      <c r="AE514" s="6"/>
      <c r="AF514" s="6"/>
      <c r="AG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/>
      <c r="S515" s="6"/>
      <c r="T515" s="6"/>
      <c r="U515" s="6"/>
      <c r="V515" s="6"/>
      <c r="W515" s="7"/>
      <c r="X515" s="6"/>
      <c r="Y515" s="6"/>
      <c r="Z515" s="6"/>
      <c r="AA515" s="6"/>
      <c r="AB515" s="6"/>
      <c r="AC515" s="6"/>
      <c r="AD515" s="6"/>
      <c r="AE515" s="6"/>
      <c r="AF515" s="6"/>
      <c r="AG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7"/>
      <c r="S516" s="6"/>
      <c r="T516" s="6"/>
      <c r="U516" s="6"/>
      <c r="V516" s="6"/>
      <c r="W516" s="7"/>
      <c r="X516" s="6"/>
      <c r="Y516" s="6"/>
      <c r="Z516" s="6"/>
      <c r="AA516" s="6"/>
      <c r="AB516" s="6"/>
      <c r="AC516" s="6"/>
      <c r="AD516" s="6"/>
      <c r="AE516" s="6"/>
      <c r="AF516" s="6"/>
      <c r="AG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7"/>
      <c r="S517" s="6"/>
      <c r="T517" s="6"/>
      <c r="U517" s="6"/>
      <c r="V517" s="6"/>
      <c r="W517" s="7"/>
      <c r="X517" s="6"/>
      <c r="Y517" s="6"/>
      <c r="Z517" s="6"/>
      <c r="AA517" s="6"/>
      <c r="AB517" s="6"/>
      <c r="AC517" s="6"/>
      <c r="AD517" s="6"/>
      <c r="AE517" s="6"/>
      <c r="AF517" s="6"/>
      <c r="AG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7"/>
      <c r="S518" s="6"/>
      <c r="T518" s="6"/>
      <c r="U518" s="6"/>
      <c r="V518" s="6"/>
      <c r="W518" s="7"/>
      <c r="X518" s="6"/>
      <c r="Y518" s="6"/>
      <c r="Z518" s="6"/>
      <c r="AA518" s="6"/>
      <c r="AB518" s="6"/>
      <c r="AC518" s="6"/>
      <c r="AD518" s="6"/>
      <c r="AE518" s="6"/>
      <c r="AF518" s="6"/>
      <c r="AG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7"/>
      <c r="S519" s="6"/>
      <c r="T519" s="6"/>
      <c r="U519" s="6"/>
      <c r="V519" s="6"/>
      <c r="W519" s="7"/>
      <c r="X519" s="6"/>
      <c r="Y519" s="6"/>
      <c r="Z519" s="6"/>
      <c r="AA519" s="6"/>
      <c r="AB519" s="6"/>
      <c r="AC519" s="6"/>
      <c r="AD519" s="6"/>
      <c r="AE519" s="6"/>
      <c r="AF519" s="6"/>
      <c r="AG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7"/>
      <c r="S520" s="6"/>
      <c r="T520" s="6"/>
      <c r="U520" s="6"/>
      <c r="V520" s="6"/>
      <c r="W520" s="7"/>
      <c r="X520" s="6"/>
      <c r="Y520" s="6"/>
      <c r="Z520" s="6"/>
      <c r="AA520" s="6"/>
      <c r="AB520" s="6"/>
      <c r="AC520" s="6"/>
      <c r="AD520" s="6"/>
      <c r="AE520" s="6"/>
      <c r="AF520" s="6"/>
      <c r="AG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7"/>
      <c r="S521" s="6"/>
      <c r="T521" s="6"/>
      <c r="U521" s="6"/>
      <c r="V521" s="6"/>
      <c r="W521" s="7"/>
      <c r="X521" s="6"/>
      <c r="Y521" s="6"/>
      <c r="Z521" s="6"/>
      <c r="AA521" s="6"/>
      <c r="AB521" s="6"/>
      <c r="AC521" s="6"/>
      <c r="AD521" s="6"/>
      <c r="AE521" s="6"/>
      <c r="AF521" s="6"/>
      <c r="AG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7"/>
      <c r="S522" s="6"/>
      <c r="T522" s="6"/>
      <c r="U522" s="6"/>
      <c r="V522" s="6"/>
      <c r="W522" s="7"/>
      <c r="X522" s="6"/>
      <c r="Y522" s="6"/>
      <c r="Z522" s="6"/>
      <c r="AA522" s="6"/>
      <c r="AB522" s="6"/>
      <c r="AC522" s="6"/>
      <c r="AD522" s="6"/>
      <c r="AE522" s="6"/>
      <c r="AF522" s="6"/>
      <c r="AG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7"/>
      <c r="S523" s="6"/>
      <c r="T523" s="6"/>
      <c r="U523" s="6"/>
      <c r="V523" s="6"/>
      <c r="W523" s="7"/>
      <c r="X523" s="6"/>
      <c r="Y523" s="6"/>
      <c r="Z523" s="6"/>
      <c r="AA523" s="6"/>
      <c r="AB523" s="6"/>
      <c r="AC523" s="6"/>
      <c r="AD523" s="6"/>
      <c r="AE523" s="6"/>
      <c r="AF523" s="6"/>
      <c r="AG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/>
      <c r="S524" s="6"/>
      <c r="T524" s="6"/>
      <c r="U524" s="6"/>
      <c r="V524" s="6"/>
      <c r="W524" s="7"/>
      <c r="X524" s="6"/>
      <c r="Y524" s="6"/>
      <c r="Z524" s="6"/>
      <c r="AA524" s="6"/>
      <c r="AB524" s="6"/>
      <c r="AC524" s="6"/>
      <c r="AD524" s="6"/>
      <c r="AE524" s="6"/>
      <c r="AF524" s="6"/>
      <c r="AG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7"/>
      <c r="S525" s="6"/>
      <c r="T525" s="6"/>
      <c r="U525" s="6"/>
      <c r="V525" s="6"/>
      <c r="W525" s="7"/>
      <c r="X525" s="6"/>
      <c r="Y525" s="6"/>
      <c r="Z525" s="6"/>
      <c r="AA525" s="6"/>
      <c r="AB525" s="6"/>
      <c r="AC525" s="6"/>
      <c r="AD525" s="6"/>
      <c r="AE525" s="6"/>
      <c r="AF525" s="6"/>
      <c r="AG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/>
      <c r="S526" s="6"/>
      <c r="T526" s="6"/>
      <c r="U526" s="6"/>
      <c r="V526" s="6"/>
      <c r="W526" s="7"/>
      <c r="X526" s="6"/>
      <c r="Y526" s="6"/>
      <c r="Z526" s="6"/>
      <c r="AA526" s="6"/>
      <c r="AB526" s="6"/>
      <c r="AC526" s="6"/>
      <c r="AD526" s="6"/>
      <c r="AE526" s="6"/>
      <c r="AF526" s="6"/>
      <c r="AG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7"/>
      <c r="S527" s="6"/>
      <c r="T527" s="6"/>
      <c r="U527" s="6"/>
      <c r="V527" s="6"/>
      <c r="W527" s="7"/>
      <c r="X527" s="6"/>
      <c r="Y527" s="6"/>
      <c r="Z527" s="6"/>
      <c r="AA527" s="6"/>
      <c r="AB527" s="6"/>
      <c r="AC527" s="6"/>
      <c r="AD527" s="6"/>
      <c r="AE527" s="6"/>
      <c r="AF527" s="6"/>
      <c r="AG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/>
      <c r="S528" s="6"/>
      <c r="T528" s="6"/>
      <c r="U528" s="6"/>
      <c r="V528" s="6"/>
      <c r="W528" s="7"/>
      <c r="X528" s="6"/>
      <c r="Y528" s="6"/>
      <c r="Z528" s="6"/>
      <c r="AA528" s="6"/>
      <c r="AB528" s="6"/>
      <c r="AC528" s="6"/>
      <c r="AD528" s="6"/>
      <c r="AE528" s="6"/>
      <c r="AF528" s="6"/>
      <c r="AG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7"/>
      <c r="S529" s="6"/>
      <c r="T529" s="6"/>
      <c r="U529" s="6"/>
      <c r="V529" s="6"/>
      <c r="W529" s="7"/>
      <c r="X529" s="6"/>
      <c r="Y529" s="6"/>
      <c r="Z529" s="6"/>
      <c r="AA529" s="6"/>
      <c r="AB529" s="6"/>
      <c r="AC529" s="6"/>
      <c r="AD529" s="6"/>
      <c r="AE529" s="6"/>
      <c r="AF529" s="6"/>
      <c r="AG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7"/>
      <c r="S530" s="6"/>
      <c r="T530" s="6"/>
      <c r="U530" s="6"/>
      <c r="V530" s="6"/>
      <c r="W530" s="7"/>
      <c r="X530" s="6"/>
      <c r="Y530" s="6"/>
      <c r="Z530" s="6"/>
      <c r="AA530" s="6"/>
      <c r="AB530" s="6"/>
      <c r="AC530" s="6"/>
      <c r="AD530" s="6"/>
      <c r="AE530" s="6"/>
      <c r="AF530" s="6"/>
      <c r="AG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7"/>
      <c r="S531" s="6"/>
      <c r="T531" s="6"/>
      <c r="U531" s="6"/>
      <c r="V531" s="6"/>
      <c r="W531" s="7"/>
      <c r="X531" s="6"/>
      <c r="Y531" s="6"/>
      <c r="Z531" s="6"/>
      <c r="AA531" s="6"/>
      <c r="AB531" s="6"/>
      <c r="AC531" s="6"/>
      <c r="AD531" s="6"/>
      <c r="AE531" s="6"/>
      <c r="AF531" s="6"/>
      <c r="AG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/>
      <c r="S532" s="6"/>
      <c r="T532" s="6"/>
      <c r="U532" s="6"/>
      <c r="V532" s="6"/>
      <c r="W532" s="7"/>
      <c r="X532" s="6"/>
      <c r="Y532" s="6"/>
      <c r="Z532" s="6"/>
      <c r="AA532" s="6"/>
      <c r="AB532" s="6"/>
      <c r="AC532" s="6"/>
      <c r="AD532" s="6"/>
      <c r="AE532" s="6"/>
      <c r="AF532" s="6"/>
      <c r="AG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/>
      <c r="S533" s="6"/>
      <c r="T533" s="6"/>
      <c r="U533" s="6"/>
      <c r="V533" s="6"/>
      <c r="W533" s="7"/>
      <c r="X533" s="6"/>
      <c r="Y533" s="6"/>
      <c r="Z533" s="6"/>
      <c r="AA533" s="6"/>
      <c r="AB533" s="6"/>
      <c r="AC533" s="6"/>
      <c r="AD533" s="6"/>
      <c r="AE533" s="6"/>
      <c r="AF533" s="6"/>
      <c r="AG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/>
      <c r="S534" s="6"/>
      <c r="T534" s="6"/>
      <c r="U534" s="6"/>
      <c r="V534" s="6"/>
      <c r="W534" s="7"/>
      <c r="X534" s="6"/>
      <c r="Y534" s="6"/>
      <c r="Z534" s="6"/>
      <c r="AA534" s="6"/>
      <c r="AB534" s="6"/>
      <c r="AC534" s="6"/>
      <c r="AD534" s="6"/>
      <c r="AE534" s="6"/>
      <c r="AF534" s="6"/>
      <c r="AG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/>
      <c r="S535" s="6"/>
      <c r="T535" s="6"/>
      <c r="U535" s="6"/>
      <c r="V535" s="6"/>
      <c r="W535" s="7"/>
      <c r="X535" s="6"/>
      <c r="Y535" s="6"/>
      <c r="Z535" s="6"/>
      <c r="AA535" s="6"/>
      <c r="AB535" s="6"/>
      <c r="AC535" s="6"/>
      <c r="AD535" s="6"/>
      <c r="AE535" s="6"/>
      <c r="AF535" s="6"/>
      <c r="AG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/>
      <c r="S536" s="6"/>
      <c r="T536" s="6"/>
      <c r="U536" s="6"/>
      <c r="V536" s="6"/>
      <c r="W536" s="7"/>
      <c r="X536" s="6"/>
      <c r="Y536" s="6"/>
      <c r="Z536" s="6"/>
      <c r="AA536" s="6"/>
      <c r="AB536" s="6"/>
      <c r="AC536" s="6"/>
      <c r="AD536" s="6"/>
      <c r="AE536" s="6"/>
      <c r="AF536" s="6"/>
      <c r="AG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/>
      <c r="S537" s="6"/>
      <c r="T537" s="6"/>
      <c r="U537" s="6"/>
      <c r="V537" s="6"/>
      <c r="W537" s="7"/>
      <c r="X537" s="6"/>
      <c r="Y537" s="6"/>
      <c r="Z537" s="6"/>
      <c r="AA537" s="6"/>
      <c r="AB537" s="6"/>
      <c r="AC537" s="6"/>
      <c r="AD537" s="6"/>
      <c r="AE537" s="6"/>
      <c r="AF537" s="6"/>
      <c r="AG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/>
      <c r="S538" s="6"/>
      <c r="T538" s="6"/>
      <c r="U538" s="6"/>
      <c r="V538" s="6"/>
      <c r="W538" s="7"/>
      <c r="X538" s="6"/>
      <c r="Y538" s="6"/>
      <c r="Z538" s="6"/>
      <c r="AA538" s="6"/>
      <c r="AB538" s="6"/>
      <c r="AC538" s="6"/>
      <c r="AD538" s="6"/>
      <c r="AE538" s="6"/>
      <c r="AF538" s="6"/>
      <c r="AG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/>
      <c r="S539" s="6"/>
      <c r="T539" s="6"/>
      <c r="U539" s="6"/>
      <c r="V539" s="6"/>
      <c r="W539" s="7"/>
      <c r="X539" s="6"/>
      <c r="Y539" s="6"/>
      <c r="Z539" s="6"/>
      <c r="AA539" s="6"/>
      <c r="AB539" s="6"/>
      <c r="AC539" s="6"/>
      <c r="AD539" s="6"/>
      <c r="AE539" s="6"/>
      <c r="AF539" s="6"/>
      <c r="AG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/>
      <c r="S540" s="6"/>
      <c r="T540" s="6"/>
      <c r="U540" s="6"/>
      <c r="V540" s="6"/>
      <c r="W540" s="7"/>
      <c r="X540" s="6"/>
      <c r="Y540" s="6"/>
      <c r="Z540" s="6"/>
      <c r="AA540" s="6"/>
      <c r="AB540" s="6"/>
      <c r="AC540" s="6"/>
      <c r="AD540" s="6"/>
      <c r="AE540" s="6"/>
      <c r="AF540" s="6"/>
      <c r="AG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/>
      <c r="S541" s="6"/>
      <c r="T541" s="6"/>
      <c r="U541" s="6"/>
      <c r="V541" s="6"/>
      <c r="W541" s="7"/>
      <c r="X541" s="6"/>
      <c r="Y541" s="6"/>
      <c r="Z541" s="6"/>
      <c r="AA541" s="6"/>
      <c r="AB541" s="6"/>
      <c r="AC541" s="6"/>
      <c r="AD541" s="6"/>
      <c r="AE541" s="6"/>
      <c r="AF541" s="6"/>
      <c r="AG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/>
      <c r="S542" s="6"/>
      <c r="T542" s="6"/>
      <c r="U542" s="6"/>
      <c r="V542" s="6"/>
      <c r="W542" s="7"/>
      <c r="X542" s="6"/>
      <c r="Y542" s="6"/>
      <c r="Z542" s="6"/>
      <c r="AA542" s="6"/>
      <c r="AB542" s="6"/>
      <c r="AC542" s="6"/>
      <c r="AD542" s="6"/>
      <c r="AE542" s="6"/>
      <c r="AF542" s="6"/>
      <c r="AG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/>
      <c r="S543" s="6"/>
      <c r="T543" s="6"/>
      <c r="U543" s="6"/>
      <c r="V543" s="6"/>
      <c r="W543" s="7"/>
      <c r="X543" s="6"/>
      <c r="Y543" s="6"/>
      <c r="Z543" s="6"/>
      <c r="AA543" s="6"/>
      <c r="AB543" s="6"/>
      <c r="AC543" s="6"/>
      <c r="AD543" s="6"/>
      <c r="AE543" s="6"/>
      <c r="AF543" s="6"/>
      <c r="A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/>
      <c r="S544" s="6"/>
      <c r="T544" s="6"/>
      <c r="U544" s="6"/>
      <c r="V544" s="6"/>
      <c r="W544" s="7"/>
      <c r="X544" s="6"/>
      <c r="Y544" s="6"/>
      <c r="Z544" s="6"/>
      <c r="AA544" s="6"/>
      <c r="AB544" s="6"/>
      <c r="AC544" s="6"/>
      <c r="AD544" s="6"/>
      <c r="AE544" s="6"/>
      <c r="AF544" s="6"/>
      <c r="A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/>
      <c r="S545" s="6"/>
      <c r="T545" s="6"/>
      <c r="U545" s="6"/>
      <c r="V545" s="6"/>
      <c r="W545" s="7"/>
      <c r="X545" s="6"/>
      <c r="Y545" s="6"/>
      <c r="Z545" s="6"/>
      <c r="AA545" s="6"/>
      <c r="AB545" s="6"/>
      <c r="AC545" s="6"/>
      <c r="AD545" s="6"/>
      <c r="AE545" s="6"/>
      <c r="AF545" s="6"/>
      <c r="A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/>
      <c r="S546" s="6"/>
      <c r="T546" s="6"/>
      <c r="U546" s="6"/>
      <c r="V546" s="6"/>
      <c r="W546" s="7"/>
      <c r="X546" s="6"/>
      <c r="Y546" s="6"/>
      <c r="Z546" s="6"/>
      <c r="AA546" s="6"/>
      <c r="AB546" s="6"/>
      <c r="AC546" s="6"/>
      <c r="AD546" s="6"/>
      <c r="AE546" s="6"/>
      <c r="AF546" s="6"/>
      <c r="A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/>
      <c r="S547" s="6"/>
      <c r="T547" s="6"/>
      <c r="U547" s="6"/>
      <c r="V547" s="6"/>
      <c r="W547" s="7"/>
      <c r="X547" s="6"/>
      <c r="Y547" s="6"/>
      <c r="Z547" s="6"/>
      <c r="AA547" s="6"/>
      <c r="AB547" s="6"/>
      <c r="AC547" s="6"/>
      <c r="AD547" s="6"/>
      <c r="AE547" s="6"/>
      <c r="AF547" s="6"/>
      <c r="A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/>
      <c r="S548" s="6"/>
      <c r="T548" s="6"/>
      <c r="U548" s="6"/>
      <c r="V548" s="6"/>
      <c r="W548" s="7"/>
      <c r="X548" s="6"/>
      <c r="Y548" s="6"/>
      <c r="Z548" s="6"/>
      <c r="AA548" s="6"/>
      <c r="AB548" s="6"/>
      <c r="AC548" s="6"/>
      <c r="AD548" s="6"/>
      <c r="AE548" s="6"/>
      <c r="AF548" s="6"/>
      <c r="A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/>
      <c r="S549" s="6"/>
      <c r="T549" s="6"/>
      <c r="U549" s="6"/>
      <c r="V549" s="6"/>
      <c r="W549" s="7"/>
      <c r="X549" s="6"/>
      <c r="Y549" s="6"/>
      <c r="Z549" s="6"/>
      <c r="AA549" s="6"/>
      <c r="AB549" s="6"/>
      <c r="AC549" s="6"/>
      <c r="AD549" s="6"/>
      <c r="AE549" s="6"/>
      <c r="AF549" s="6"/>
      <c r="A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/>
      <c r="S550" s="6"/>
      <c r="T550" s="6"/>
      <c r="U550" s="6"/>
      <c r="V550" s="6"/>
      <c r="W550" s="7"/>
      <c r="X550" s="6"/>
      <c r="Y550" s="6"/>
      <c r="Z550" s="6"/>
      <c r="AA550" s="6"/>
      <c r="AB550" s="6"/>
      <c r="AC550" s="6"/>
      <c r="AD550" s="6"/>
      <c r="AE550" s="6"/>
      <c r="AF550" s="6"/>
      <c r="A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/>
      <c r="S551" s="6"/>
      <c r="T551" s="6"/>
      <c r="U551" s="6"/>
      <c r="V551" s="6"/>
      <c r="W551" s="7"/>
      <c r="X551" s="6"/>
      <c r="Y551" s="6"/>
      <c r="Z551" s="6"/>
      <c r="AA551" s="6"/>
      <c r="AB551" s="6"/>
      <c r="AC551" s="6"/>
      <c r="AD551" s="6"/>
      <c r="AE551" s="6"/>
      <c r="AF551" s="6"/>
      <c r="A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/>
      <c r="S552" s="6"/>
      <c r="T552" s="6"/>
      <c r="U552" s="6"/>
      <c r="V552" s="6"/>
      <c r="W552" s="7"/>
      <c r="X552" s="6"/>
      <c r="Y552" s="6"/>
      <c r="Z552" s="6"/>
      <c r="AA552" s="6"/>
      <c r="AB552" s="6"/>
      <c r="AC552" s="6"/>
      <c r="AD552" s="6"/>
      <c r="AE552" s="6"/>
      <c r="AF552" s="6"/>
      <c r="A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/>
      <c r="S553" s="6"/>
      <c r="T553" s="6"/>
      <c r="U553" s="6"/>
      <c r="V553" s="6"/>
      <c r="W553" s="7"/>
      <c r="X553" s="6"/>
      <c r="Y553" s="6"/>
      <c r="Z553" s="6"/>
      <c r="AA553" s="6"/>
      <c r="AB553" s="6"/>
      <c r="AC553" s="6"/>
      <c r="AD553" s="6"/>
      <c r="AE553" s="6"/>
      <c r="AF553" s="6"/>
      <c r="A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/>
      <c r="S554" s="6"/>
      <c r="T554" s="6"/>
      <c r="U554" s="6"/>
      <c r="V554" s="6"/>
      <c r="W554" s="7"/>
      <c r="X554" s="6"/>
      <c r="Y554" s="6"/>
      <c r="Z554" s="6"/>
      <c r="AA554" s="6"/>
      <c r="AB554" s="6"/>
      <c r="AC554" s="6"/>
      <c r="AD554" s="6"/>
      <c r="AE554" s="6"/>
      <c r="AF554" s="6"/>
      <c r="A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/>
      <c r="S555" s="6"/>
      <c r="T555" s="6"/>
      <c r="U555" s="6"/>
      <c r="V555" s="6"/>
      <c r="W555" s="7"/>
      <c r="X555" s="6"/>
      <c r="Y555" s="6"/>
      <c r="Z555" s="6"/>
      <c r="AA555" s="6"/>
      <c r="AB555" s="6"/>
      <c r="AC555" s="6"/>
      <c r="AD555" s="6"/>
      <c r="AE555" s="6"/>
      <c r="AF555" s="6"/>
      <c r="A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/>
      <c r="S556" s="6"/>
      <c r="T556" s="6"/>
      <c r="U556" s="6"/>
      <c r="V556" s="6"/>
      <c r="W556" s="7"/>
      <c r="X556" s="6"/>
      <c r="Y556" s="6"/>
      <c r="Z556" s="6"/>
      <c r="AA556" s="6"/>
      <c r="AB556" s="6"/>
      <c r="AC556" s="6"/>
      <c r="AD556" s="6"/>
      <c r="AE556" s="6"/>
      <c r="AF556" s="6"/>
      <c r="A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/>
      <c r="S557" s="6"/>
      <c r="T557" s="6"/>
      <c r="U557" s="6"/>
      <c r="V557" s="6"/>
      <c r="W557" s="7"/>
      <c r="X557" s="6"/>
      <c r="Y557" s="6"/>
      <c r="Z557" s="6"/>
      <c r="AA557" s="6"/>
      <c r="AB557" s="6"/>
      <c r="AC557" s="6"/>
      <c r="AD557" s="6"/>
      <c r="AE557" s="6"/>
      <c r="AF557" s="6"/>
      <c r="A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/>
      <c r="S558" s="6"/>
      <c r="T558" s="6"/>
      <c r="U558" s="6"/>
      <c r="V558" s="6"/>
      <c r="W558" s="7"/>
      <c r="X558" s="6"/>
      <c r="Y558" s="6"/>
      <c r="Z558" s="6"/>
      <c r="AA558" s="6"/>
      <c r="AB558" s="6"/>
      <c r="AC558" s="6"/>
      <c r="AD558" s="6"/>
      <c r="AE558" s="6"/>
      <c r="AF558" s="6"/>
      <c r="A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/>
      <c r="S559" s="6"/>
      <c r="T559" s="6"/>
      <c r="U559" s="6"/>
      <c r="V559" s="6"/>
      <c r="W559" s="7"/>
      <c r="X559" s="6"/>
      <c r="Y559" s="6"/>
      <c r="Z559" s="6"/>
      <c r="AA559" s="6"/>
      <c r="AB559" s="6"/>
      <c r="AC559" s="6"/>
      <c r="AD559" s="6"/>
      <c r="AE559" s="6"/>
      <c r="AF559" s="6"/>
      <c r="A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/>
      <c r="S560" s="6"/>
      <c r="T560" s="6"/>
      <c r="U560" s="6"/>
      <c r="V560" s="6"/>
      <c r="W560" s="7"/>
      <c r="X560" s="6"/>
      <c r="Y560" s="6"/>
      <c r="Z560" s="6"/>
      <c r="AA560" s="6"/>
      <c r="AB560" s="6"/>
      <c r="AC560" s="6"/>
      <c r="AD560" s="6"/>
      <c r="AE560" s="6"/>
      <c r="AF560" s="6"/>
      <c r="A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/>
      <c r="S561" s="6"/>
      <c r="T561" s="6"/>
      <c r="U561" s="6"/>
      <c r="V561" s="6"/>
      <c r="W561" s="7"/>
      <c r="X561" s="6"/>
      <c r="Y561" s="6"/>
      <c r="Z561" s="6"/>
      <c r="AA561" s="6"/>
      <c r="AB561" s="6"/>
      <c r="AC561" s="6"/>
      <c r="AD561" s="6"/>
      <c r="AE561" s="6"/>
      <c r="AF561" s="6"/>
      <c r="A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/>
      <c r="S562" s="6"/>
      <c r="T562" s="6"/>
      <c r="U562" s="6"/>
      <c r="V562" s="6"/>
      <c r="W562" s="7"/>
      <c r="X562" s="6"/>
      <c r="Y562" s="6"/>
      <c r="Z562" s="6"/>
      <c r="AA562" s="6"/>
      <c r="AB562" s="6"/>
      <c r="AC562" s="6"/>
      <c r="AD562" s="6"/>
      <c r="AE562" s="6"/>
      <c r="AF562" s="6"/>
      <c r="A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/>
      <c r="S563" s="6"/>
      <c r="T563" s="6"/>
      <c r="U563" s="6"/>
      <c r="V563" s="6"/>
      <c r="W563" s="7"/>
      <c r="X563" s="6"/>
      <c r="Y563" s="6"/>
      <c r="Z563" s="6"/>
      <c r="AA563" s="6"/>
      <c r="AB563" s="6"/>
      <c r="AC563" s="6"/>
      <c r="AD563" s="6"/>
      <c r="AE563" s="6"/>
      <c r="AF563" s="6"/>
      <c r="A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/>
      <c r="S564" s="6"/>
      <c r="T564" s="6"/>
      <c r="U564" s="6"/>
      <c r="V564" s="6"/>
      <c r="W564" s="7"/>
      <c r="X564" s="6"/>
      <c r="Y564" s="6"/>
      <c r="Z564" s="6"/>
      <c r="AA564" s="6"/>
      <c r="AB564" s="6"/>
      <c r="AC564" s="6"/>
      <c r="AD564" s="6"/>
      <c r="AE564" s="6"/>
      <c r="AF564" s="6"/>
      <c r="A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/>
      <c r="S565" s="6"/>
      <c r="T565" s="6"/>
      <c r="U565" s="6"/>
      <c r="V565" s="6"/>
      <c r="W565" s="7"/>
      <c r="X565" s="6"/>
      <c r="Y565" s="6"/>
      <c r="Z565" s="6"/>
      <c r="AA565" s="6"/>
      <c r="AB565" s="6"/>
      <c r="AC565" s="6"/>
      <c r="AD565" s="6"/>
      <c r="AE565" s="6"/>
      <c r="AF565" s="6"/>
      <c r="A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/>
      <c r="S566" s="6"/>
      <c r="T566" s="6"/>
      <c r="U566" s="6"/>
      <c r="V566" s="6"/>
      <c r="W566" s="7"/>
      <c r="X566" s="6"/>
      <c r="Y566" s="6"/>
      <c r="Z566" s="6"/>
      <c r="AA566" s="6"/>
      <c r="AB566" s="6"/>
      <c r="AC566" s="6"/>
      <c r="AD566" s="6"/>
      <c r="AE566" s="6"/>
      <c r="AF566" s="6"/>
      <c r="A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/>
      <c r="S567" s="6"/>
      <c r="T567" s="6"/>
      <c r="U567" s="6"/>
      <c r="V567" s="6"/>
      <c r="W567" s="7"/>
      <c r="X567" s="6"/>
      <c r="Y567" s="6"/>
      <c r="Z567" s="6"/>
      <c r="AA567" s="6"/>
      <c r="AB567" s="6"/>
      <c r="AC567" s="6"/>
      <c r="AD567" s="6"/>
      <c r="AE567" s="6"/>
      <c r="AF567" s="6"/>
      <c r="A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/>
      <c r="S568" s="6"/>
      <c r="T568" s="6"/>
      <c r="U568" s="6"/>
      <c r="V568" s="6"/>
      <c r="W568" s="7"/>
      <c r="X568" s="6"/>
      <c r="Y568" s="6"/>
      <c r="Z568" s="6"/>
      <c r="AA568" s="6"/>
      <c r="AB568" s="6"/>
      <c r="AC568" s="6"/>
      <c r="AD568" s="6"/>
      <c r="AE568" s="6"/>
      <c r="AF568" s="6"/>
      <c r="A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/>
      <c r="S569" s="6"/>
      <c r="T569" s="6"/>
      <c r="U569" s="6"/>
      <c r="V569" s="6"/>
      <c r="W569" s="7"/>
      <c r="X569" s="6"/>
      <c r="Y569" s="6"/>
      <c r="Z569" s="6"/>
      <c r="AA569" s="6"/>
      <c r="AB569" s="6"/>
      <c r="AC569" s="6"/>
      <c r="AD569" s="6"/>
      <c r="AE569" s="6"/>
      <c r="AF569" s="6"/>
      <c r="A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/>
      <c r="S570" s="6"/>
      <c r="T570" s="6"/>
      <c r="U570" s="6"/>
      <c r="V570" s="6"/>
      <c r="W570" s="7"/>
      <c r="X570" s="6"/>
      <c r="Y570" s="6"/>
      <c r="Z570" s="6"/>
      <c r="AA570" s="6"/>
      <c r="AB570" s="6"/>
      <c r="AC570" s="6"/>
      <c r="AD570" s="6"/>
      <c r="AE570" s="6"/>
      <c r="AF570" s="6"/>
      <c r="A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/>
      <c r="S571" s="6"/>
      <c r="T571" s="6"/>
      <c r="U571" s="6"/>
      <c r="V571" s="6"/>
      <c r="W571" s="7"/>
      <c r="X571" s="6"/>
      <c r="Y571" s="6"/>
      <c r="Z571" s="6"/>
      <c r="AA571" s="6"/>
      <c r="AB571" s="6"/>
      <c r="AC571" s="6"/>
      <c r="AD571" s="6"/>
      <c r="AE571" s="6"/>
      <c r="AF571" s="6"/>
      <c r="A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/>
      <c r="S572" s="6"/>
      <c r="T572" s="6"/>
      <c r="U572" s="6"/>
      <c r="V572" s="6"/>
      <c r="W572" s="7"/>
      <c r="X572" s="6"/>
      <c r="Y572" s="6"/>
      <c r="Z572" s="6"/>
      <c r="AA572" s="6"/>
      <c r="AB572" s="6"/>
      <c r="AC572" s="6"/>
      <c r="AD572" s="6"/>
      <c r="AE572" s="6"/>
      <c r="AF572" s="6"/>
      <c r="A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/>
      <c r="S573" s="6"/>
      <c r="T573" s="6"/>
      <c r="U573" s="6"/>
      <c r="V573" s="6"/>
      <c r="W573" s="7"/>
      <c r="X573" s="6"/>
      <c r="Y573" s="6"/>
      <c r="Z573" s="6"/>
      <c r="AA573" s="6"/>
      <c r="AB573" s="6"/>
      <c r="AC573" s="6"/>
      <c r="AD573" s="6"/>
      <c r="AE573" s="6"/>
      <c r="AF573" s="6"/>
      <c r="A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/>
      <c r="S574" s="6"/>
      <c r="T574" s="6"/>
      <c r="U574" s="6"/>
      <c r="V574" s="6"/>
      <c r="W574" s="7"/>
      <c r="X574" s="6"/>
      <c r="Y574" s="6"/>
      <c r="Z574" s="6"/>
      <c r="AA574" s="6"/>
      <c r="AB574" s="6"/>
      <c r="AC574" s="6"/>
      <c r="AD574" s="6"/>
      <c r="AE574" s="6"/>
      <c r="AF574" s="6"/>
      <c r="A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/>
      <c r="S575" s="6"/>
      <c r="T575" s="6"/>
      <c r="U575" s="6"/>
      <c r="V575" s="6"/>
      <c r="W575" s="7"/>
      <c r="X575" s="6"/>
      <c r="Y575" s="6"/>
      <c r="Z575" s="6"/>
      <c r="AA575" s="6"/>
      <c r="AB575" s="6"/>
      <c r="AC575" s="6"/>
      <c r="AD575" s="6"/>
      <c r="AE575" s="6"/>
      <c r="AF575" s="6"/>
      <c r="A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/>
      <c r="S576" s="6"/>
      <c r="T576" s="6"/>
      <c r="U576" s="6"/>
      <c r="V576" s="6"/>
      <c r="W576" s="7"/>
      <c r="X576" s="6"/>
      <c r="Y576" s="6"/>
      <c r="Z576" s="6"/>
      <c r="AA576" s="6"/>
      <c r="AB576" s="6"/>
      <c r="AC576" s="6"/>
      <c r="AD576" s="6"/>
      <c r="AE576" s="6"/>
      <c r="AF576" s="6"/>
      <c r="A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/>
      <c r="S577" s="6"/>
      <c r="T577" s="6"/>
      <c r="U577" s="6"/>
      <c r="V577" s="6"/>
      <c r="W577" s="7"/>
      <c r="X577" s="6"/>
      <c r="Y577" s="6"/>
      <c r="Z577" s="6"/>
      <c r="AA577" s="6"/>
      <c r="AB577" s="6"/>
      <c r="AC577" s="6"/>
      <c r="AD577" s="6"/>
      <c r="AE577" s="6"/>
      <c r="AF577" s="6"/>
      <c r="A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/>
      <c r="S578" s="6"/>
      <c r="T578" s="6"/>
      <c r="U578" s="6"/>
      <c r="V578" s="6"/>
      <c r="W578" s="7"/>
      <c r="X578" s="6"/>
      <c r="Y578" s="6"/>
      <c r="Z578" s="6"/>
      <c r="AA578" s="6"/>
      <c r="AB578" s="6"/>
      <c r="AC578" s="6"/>
      <c r="AD578" s="6"/>
      <c r="AE578" s="6"/>
      <c r="AF578" s="6"/>
      <c r="A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/>
      <c r="S579" s="6"/>
      <c r="T579" s="6"/>
      <c r="U579" s="6"/>
      <c r="V579" s="6"/>
      <c r="W579" s="7"/>
      <c r="X579" s="6"/>
      <c r="Y579" s="6"/>
      <c r="Z579" s="6"/>
      <c r="AA579" s="6"/>
      <c r="AB579" s="6"/>
      <c r="AC579" s="6"/>
      <c r="AD579" s="6"/>
      <c r="AE579" s="6"/>
      <c r="AF579" s="6"/>
      <c r="A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/>
      <c r="S580" s="6"/>
      <c r="T580" s="6"/>
      <c r="U580" s="6"/>
      <c r="V580" s="6"/>
      <c r="W580" s="7"/>
      <c r="X580" s="6"/>
      <c r="Y580" s="6"/>
      <c r="Z580" s="6"/>
      <c r="AA580" s="6"/>
      <c r="AB580" s="6"/>
      <c r="AC580" s="6"/>
      <c r="AD580" s="6"/>
      <c r="AE580" s="6"/>
      <c r="AF580" s="6"/>
      <c r="AG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/>
      <c r="S581" s="6"/>
      <c r="T581" s="6"/>
      <c r="U581" s="6"/>
      <c r="V581" s="6"/>
      <c r="W581" s="7"/>
      <c r="X581" s="6"/>
      <c r="Y581" s="6"/>
      <c r="Z581" s="6"/>
      <c r="AA581" s="6"/>
      <c r="AB581" s="6"/>
      <c r="AC581" s="6"/>
      <c r="AD581" s="6"/>
      <c r="AE581" s="6"/>
      <c r="AF581" s="6"/>
      <c r="AG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/>
      <c r="S582" s="6"/>
      <c r="T582" s="6"/>
      <c r="U582" s="6"/>
      <c r="V582" s="6"/>
      <c r="W582" s="7"/>
      <c r="X582" s="6"/>
      <c r="Y582" s="6"/>
      <c r="Z582" s="6"/>
      <c r="AA582" s="6"/>
      <c r="AB582" s="6"/>
      <c r="AC582" s="6"/>
      <c r="AD582" s="6"/>
      <c r="AE582" s="6"/>
      <c r="AF582" s="6"/>
      <c r="AG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/>
      <c r="S583" s="6"/>
      <c r="T583" s="6"/>
      <c r="U583" s="6"/>
      <c r="V583" s="6"/>
      <c r="W583" s="7"/>
      <c r="X583" s="6"/>
      <c r="Y583" s="6"/>
      <c r="Z583" s="6"/>
      <c r="AA583" s="6"/>
      <c r="AB583" s="6"/>
      <c r="AC583" s="6"/>
      <c r="AD583" s="6"/>
      <c r="AE583" s="6"/>
      <c r="AF583" s="6"/>
      <c r="AG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/>
      <c r="S584" s="6"/>
      <c r="T584" s="6"/>
      <c r="U584" s="6"/>
      <c r="V584" s="6"/>
      <c r="W584" s="7"/>
      <c r="X584" s="6"/>
      <c r="Y584" s="6"/>
      <c r="Z584" s="6"/>
      <c r="AA584" s="6"/>
      <c r="AB584" s="6"/>
      <c r="AC584" s="6"/>
      <c r="AD584" s="6"/>
      <c r="AE584" s="6"/>
      <c r="AF584" s="6"/>
      <c r="AG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7"/>
      <c r="S585" s="6"/>
      <c r="T585" s="6"/>
      <c r="U585" s="6"/>
      <c r="V585" s="6"/>
      <c r="W585" s="7"/>
      <c r="X585" s="6"/>
      <c r="Y585" s="6"/>
      <c r="Z585" s="6"/>
      <c r="AA585" s="6"/>
      <c r="AB585" s="6"/>
      <c r="AC585" s="6"/>
      <c r="AD585" s="6"/>
      <c r="AE585" s="6"/>
      <c r="AF585" s="6"/>
      <c r="AG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7"/>
      <c r="S586" s="6"/>
      <c r="T586" s="6"/>
      <c r="U586" s="6"/>
      <c r="V586" s="6"/>
      <c r="W586" s="7"/>
      <c r="X586" s="6"/>
      <c r="Y586" s="6"/>
      <c r="Z586" s="6"/>
      <c r="AA586" s="6"/>
      <c r="AB586" s="6"/>
      <c r="AC586" s="6"/>
      <c r="AD586" s="6"/>
      <c r="AE586" s="6"/>
      <c r="AF586" s="6"/>
      <c r="AG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7"/>
      <c r="S587" s="6"/>
      <c r="T587" s="6"/>
      <c r="U587" s="6"/>
      <c r="V587" s="6"/>
      <c r="W587" s="7"/>
      <c r="X587" s="6"/>
      <c r="Y587" s="6"/>
      <c r="Z587" s="6"/>
      <c r="AA587" s="6"/>
      <c r="AB587" s="6"/>
      <c r="AC587" s="6"/>
      <c r="AD587" s="6"/>
      <c r="AE587" s="6"/>
      <c r="AF587" s="6"/>
      <c r="AG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7"/>
      <c r="S588" s="6"/>
      <c r="T588" s="6"/>
      <c r="U588" s="6"/>
      <c r="V588" s="6"/>
      <c r="W588" s="7"/>
      <c r="X588" s="6"/>
      <c r="Y588" s="6"/>
      <c r="Z588" s="6"/>
      <c r="AA588" s="6"/>
      <c r="AB588" s="6"/>
      <c r="AC588" s="6"/>
      <c r="AD588" s="6"/>
      <c r="AE588" s="6"/>
      <c r="AF588" s="6"/>
      <c r="AG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7"/>
      <c r="S589" s="6"/>
      <c r="T589" s="6"/>
      <c r="U589" s="6"/>
      <c r="V589" s="6"/>
      <c r="W589" s="7"/>
      <c r="X589" s="6"/>
      <c r="Y589" s="6"/>
      <c r="Z589" s="6"/>
      <c r="AA589" s="6"/>
      <c r="AB589" s="6"/>
      <c r="AC589" s="6"/>
      <c r="AD589" s="6"/>
      <c r="AE589" s="6"/>
      <c r="AF589" s="6"/>
      <c r="AG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7"/>
      <c r="S590" s="6"/>
      <c r="T590" s="6"/>
      <c r="U590" s="6"/>
      <c r="V590" s="6"/>
      <c r="W590" s="7"/>
      <c r="X590" s="6"/>
      <c r="Y590" s="6"/>
      <c r="Z590" s="6"/>
      <c r="AA590" s="6"/>
      <c r="AB590" s="6"/>
      <c r="AC590" s="6"/>
      <c r="AD590" s="6"/>
      <c r="AE590" s="6"/>
      <c r="AF590" s="6"/>
      <c r="AG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7"/>
      <c r="S591" s="6"/>
      <c r="T591" s="6"/>
      <c r="U591" s="6"/>
      <c r="V591" s="6"/>
      <c r="W591" s="7"/>
      <c r="X591" s="6"/>
      <c r="Y591" s="6"/>
      <c r="Z591" s="6"/>
      <c r="AA591" s="6"/>
      <c r="AB591" s="6"/>
      <c r="AC591" s="6"/>
      <c r="AD591" s="6"/>
      <c r="AE591" s="6"/>
      <c r="AF591" s="6"/>
      <c r="AG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7"/>
      <c r="S592" s="6"/>
      <c r="T592" s="6"/>
      <c r="U592" s="6"/>
      <c r="V592" s="6"/>
      <c r="W592" s="7"/>
      <c r="X592" s="6"/>
      <c r="Y592" s="6"/>
      <c r="Z592" s="6"/>
      <c r="AA592" s="6"/>
      <c r="AB592" s="6"/>
      <c r="AC592" s="6"/>
      <c r="AD592" s="6"/>
      <c r="AE592" s="6"/>
      <c r="AF592" s="6"/>
      <c r="AG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7"/>
      <c r="S593" s="6"/>
      <c r="T593" s="6"/>
      <c r="U593" s="6"/>
      <c r="V593" s="6"/>
      <c r="W593" s="7"/>
      <c r="X593" s="6"/>
      <c r="Y593" s="6"/>
      <c r="Z593" s="6"/>
      <c r="AA593" s="6"/>
      <c r="AB593" s="6"/>
      <c r="AC593" s="6"/>
      <c r="AD593" s="6"/>
      <c r="AE593" s="6"/>
      <c r="AF593" s="6"/>
      <c r="AG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7"/>
      <c r="S594" s="6"/>
      <c r="T594" s="6"/>
      <c r="U594" s="6"/>
      <c r="V594" s="6"/>
      <c r="W594" s="7"/>
      <c r="X594" s="6"/>
      <c r="Y594" s="6"/>
      <c r="Z594" s="6"/>
      <c r="AA594" s="6"/>
      <c r="AB594" s="6"/>
      <c r="AC594" s="6"/>
      <c r="AD594" s="6"/>
      <c r="AE594" s="6"/>
      <c r="AF594" s="6"/>
      <c r="AG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7"/>
      <c r="S595" s="6"/>
      <c r="T595" s="6"/>
      <c r="U595" s="6"/>
      <c r="V595" s="6"/>
      <c r="W595" s="7"/>
      <c r="X595" s="6"/>
      <c r="Y595" s="6"/>
      <c r="Z595" s="6"/>
      <c r="AA595" s="6"/>
      <c r="AB595" s="6"/>
      <c r="AC595" s="6"/>
      <c r="AD595" s="6"/>
      <c r="AE595" s="6"/>
      <c r="AF595" s="6"/>
      <c r="AG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7"/>
      <c r="S596" s="6"/>
      <c r="T596" s="6"/>
      <c r="U596" s="6"/>
      <c r="V596" s="6"/>
      <c r="W596" s="7"/>
      <c r="X596" s="6"/>
      <c r="Y596" s="6"/>
      <c r="Z596" s="6"/>
      <c r="AA596" s="6"/>
      <c r="AB596" s="6"/>
      <c r="AC596" s="6"/>
      <c r="AD596" s="6"/>
      <c r="AE596" s="6"/>
      <c r="AF596" s="6"/>
      <c r="AG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7"/>
      <c r="S597" s="6"/>
      <c r="T597" s="6"/>
      <c r="U597" s="6"/>
      <c r="V597" s="6"/>
      <c r="W597" s="7"/>
      <c r="X597" s="6"/>
      <c r="Y597" s="6"/>
      <c r="Z597" s="6"/>
      <c r="AA597" s="6"/>
      <c r="AB597" s="6"/>
      <c r="AC597" s="6"/>
      <c r="AD597" s="6"/>
      <c r="AE597" s="6"/>
      <c r="AF597" s="6"/>
      <c r="AG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7"/>
      <c r="S598" s="6"/>
      <c r="T598" s="6"/>
      <c r="U598" s="6"/>
      <c r="V598" s="6"/>
      <c r="W598" s="7"/>
      <c r="X598" s="6"/>
      <c r="Y598" s="6"/>
      <c r="Z598" s="6"/>
      <c r="AA598" s="6"/>
      <c r="AB598" s="6"/>
      <c r="AC598" s="6"/>
      <c r="AD598" s="6"/>
      <c r="AE598" s="6"/>
      <c r="AF598" s="6"/>
      <c r="AG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7"/>
      <c r="S599" s="6"/>
      <c r="T599" s="6"/>
      <c r="U599" s="6"/>
      <c r="V599" s="6"/>
      <c r="W599" s="7"/>
      <c r="X599" s="6"/>
      <c r="Y599" s="6"/>
      <c r="Z599" s="6"/>
      <c r="AA599" s="6"/>
      <c r="AB599" s="6"/>
      <c r="AC599" s="6"/>
      <c r="AD599" s="6"/>
      <c r="AE599" s="6"/>
      <c r="AF599" s="6"/>
      <c r="AG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7"/>
      <c r="S600" s="6"/>
      <c r="T600" s="6"/>
      <c r="U600" s="6"/>
      <c r="V600" s="6"/>
      <c r="W600" s="7"/>
      <c r="X600" s="6"/>
      <c r="Y600" s="6"/>
      <c r="Z600" s="6"/>
      <c r="AA600" s="6"/>
      <c r="AB600" s="6"/>
      <c r="AC600" s="6"/>
      <c r="AD600" s="6"/>
      <c r="AE600" s="6"/>
      <c r="AF600" s="6"/>
      <c r="AG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7"/>
      <c r="S601" s="6"/>
      <c r="T601" s="6"/>
      <c r="U601" s="6"/>
      <c r="V601" s="6"/>
      <c r="W601" s="7"/>
      <c r="X601" s="6"/>
      <c r="Y601" s="6"/>
      <c r="Z601" s="6"/>
      <c r="AA601" s="6"/>
      <c r="AB601" s="6"/>
      <c r="AC601" s="6"/>
      <c r="AD601" s="6"/>
      <c r="AE601" s="6"/>
      <c r="AF601" s="6"/>
      <c r="AG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7"/>
      <c r="S602" s="6"/>
      <c r="T602" s="6"/>
      <c r="U602" s="6"/>
      <c r="V602" s="6"/>
      <c r="W602" s="7"/>
      <c r="X602" s="6"/>
      <c r="Y602" s="6"/>
      <c r="Z602" s="6"/>
      <c r="AA602" s="6"/>
      <c r="AB602" s="6"/>
      <c r="AC602" s="6"/>
      <c r="AD602" s="6"/>
      <c r="AE602" s="6"/>
      <c r="AF602" s="6"/>
      <c r="AG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7"/>
      <c r="S603" s="6"/>
      <c r="T603" s="6"/>
      <c r="U603" s="6"/>
      <c r="V603" s="6"/>
      <c r="W603" s="7"/>
      <c r="X603" s="6"/>
      <c r="Y603" s="6"/>
      <c r="Z603" s="6"/>
      <c r="AA603" s="6"/>
      <c r="AB603" s="6"/>
      <c r="AC603" s="6"/>
      <c r="AD603" s="6"/>
      <c r="AE603" s="6"/>
      <c r="AF603" s="6"/>
      <c r="AG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7"/>
      <c r="S604" s="6"/>
      <c r="T604" s="6"/>
      <c r="U604" s="6"/>
      <c r="V604" s="6"/>
      <c r="W604" s="7"/>
      <c r="X604" s="6"/>
      <c r="Y604" s="6"/>
      <c r="Z604" s="6"/>
      <c r="AA604" s="6"/>
      <c r="AB604" s="6"/>
      <c r="AC604" s="6"/>
      <c r="AD604" s="6"/>
      <c r="AE604" s="6"/>
      <c r="AF604" s="6"/>
      <c r="AG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7"/>
      <c r="S605" s="6"/>
      <c r="T605" s="6"/>
      <c r="U605" s="6"/>
      <c r="V605" s="6"/>
      <c r="W605" s="7"/>
      <c r="X605" s="6"/>
      <c r="Y605" s="6"/>
      <c r="Z605" s="6"/>
      <c r="AA605" s="6"/>
      <c r="AB605" s="6"/>
      <c r="AC605" s="6"/>
      <c r="AD605" s="6"/>
      <c r="AE605" s="6"/>
      <c r="AF605" s="6"/>
      <c r="AG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7"/>
      <c r="S606" s="6"/>
      <c r="T606" s="6"/>
      <c r="U606" s="6"/>
      <c r="V606" s="6"/>
      <c r="W606" s="7"/>
      <c r="X606" s="6"/>
      <c r="Y606" s="6"/>
      <c r="Z606" s="6"/>
      <c r="AA606" s="6"/>
      <c r="AB606" s="6"/>
      <c r="AC606" s="6"/>
      <c r="AD606" s="6"/>
      <c r="AE606" s="6"/>
      <c r="AF606" s="6"/>
      <c r="AG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7"/>
      <c r="S607" s="6"/>
      <c r="T607" s="6"/>
      <c r="U607" s="6"/>
      <c r="V607" s="6"/>
      <c r="W607" s="7"/>
      <c r="X607" s="6"/>
      <c r="Y607" s="6"/>
      <c r="Z607" s="6"/>
      <c r="AA607" s="6"/>
      <c r="AB607" s="6"/>
      <c r="AC607" s="6"/>
      <c r="AD607" s="6"/>
      <c r="AE607" s="6"/>
      <c r="AF607" s="6"/>
      <c r="AG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7"/>
      <c r="S608" s="6"/>
      <c r="T608" s="6"/>
      <c r="U608" s="6"/>
      <c r="V608" s="6"/>
      <c r="W608" s="7"/>
      <c r="X608" s="6"/>
      <c r="Y608" s="6"/>
      <c r="Z608" s="6"/>
      <c r="AA608" s="6"/>
      <c r="AB608" s="6"/>
      <c r="AC608" s="6"/>
      <c r="AD608" s="6"/>
      <c r="AE608" s="6"/>
      <c r="AF608" s="6"/>
      <c r="AG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7"/>
      <c r="S609" s="6"/>
      <c r="T609" s="6"/>
      <c r="U609" s="6"/>
      <c r="V609" s="6"/>
      <c r="W609" s="7"/>
      <c r="X609" s="6"/>
      <c r="Y609" s="6"/>
      <c r="Z609" s="6"/>
      <c r="AA609" s="6"/>
      <c r="AB609" s="6"/>
      <c r="AC609" s="6"/>
      <c r="AD609" s="6"/>
      <c r="AE609" s="6"/>
      <c r="AF609" s="6"/>
      <c r="AG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7"/>
      <c r="S610" s="6"/>
      <c r="T610" s="6"/>
      <c r="U610" s="6"/>
      <c r="V610" s="6"/>
      <c r="W610" s="7"/>
      <c r="X610" s="6"/>
      <c r="Y610" s="6"/>
      <c r="Z610" s="6"/>
      <c r="AA610" s="6"/>
      <c r="AB610" s="6"/>
      <c r="AC610" s="6"/>
      <c r="AD610" s="6"/>
      <c r="AE610" s="6"/>
      <c r="AF610" s="6"/>
      <c r="AG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7"/>
      <c r="S611" s="6"/>
      <c r="T611" s="6"/>
      <c r="U611" s="6"/>
      <c r="V611" s="6"/>
      <c r="W611" s="7"/>
      <c r="X611" s="6"/>
      <c r="Y611" s="6"/>
      <c r="Z611" s="6"/>
      <c r="AA611" s="6"/>
      <c r="AB611" s="6"/>
      <c r="AC611" s="6"/>
      <c r="AD611" s="6"/>
      <c r="AE611" s="6"/>
      <c r="AF611" s="6"/>
      <c r="AG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7"/>
      <c r="S612" s="6"/>
      <c r="T612" s="6"/>
      <c r="U612" s="6"/>
      <c r="V612" s="6"/>
      <c r="W612" s="7"/>
      <c r="X612" s="6"/>
      <c r="Y612" s="6"/>
      <c r="Z612" s="6"/>
      <c r="AA612" s="6"/>
      <c r="AB612" s="6"/>
      <c r="AC612" s="6"/>
      <c r="AD612" s="6"/>
      <c r="AE612" s="6"/>
      <c r="AF612" s="6"/>
      <c r="AG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7"/>
      <c r="S613" s="6"/>
      <c r="T613" s="6"/>
      <c r="U613" s="6"/>
      <c r="V613" s="6"/>
      <c r="W613" s="7"/>
      <c r="X613" s="6"/>
      <c r="Y613" s="6"/>
      <c r="Z613" s="6"/>
      <c r="AA613" s="6"/>
      <c r="AB613" s="6"/>
      <c r="AC613" s="6"/>
      <c r="AD613" s="6"/>
      <c r="AE613" s="6"/>
      <c r="AF613" s="6"/>
      <c r="AG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7"/>
      <c r="S614" s="6"/>
      <c r="T614" s="6"/>
      <c r="U614" s="6"/>
      <c r="V614" s="6"/>
      <c r="W614" s="7"/>
      <c r="X614" s="6"/>
      <c r="Y614" s="6"/>
      <c r="Z614" s="6"/>
      <c r="AA614" s="6"/>
      <c r="AB614" s="6"/>
      <c r="AC614" s="6"/>
      <c r="AD614" s="6"/>
      <c r="AE614" s="6"/>
      <c r="AF614" s="6"/>
      <c r="AG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7"/>
      <c r="S615" s="6"/>
      <c r="T615" s="6"/>
      <c r="U615" s="6"/>
      <c r="V615" s="6"/>
      <c r="W615" s="7"/>
      <c r="X615" s="6"/>
      <c r="Y615" s="6"/>
      <c r="Z615" s="6"/>
      <c r="AA615" s="6"/>
      <c r="AB615" s="6"/>
      <c r="AC615" s="6"/>
      <c r="AD615" s="6"/>
      <c r="AE615" s="6"/>
      <c r="AF615" s="6"/>
      <c r="AG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7"/>
      <c r="S616" s="6"/>
      <c r="T616" s="6"/>
      <c r="U616" s="6"/>
      <c r="V616" s="6"/>
      <c r="W616" s="7"/>
      <c r="X616" s="6"/>
      <c r="Y616" s="6"/>
      <c r="Z616" s="6"/>
      <c r="AA616" s="6"/>
      <c r="AB616" s="6"/>
      <c r="AC616" s="6"/>
      <c r="AD616" s="6"/>
      <c r="AE616" s="6"/>
      <c r="AF616" s="6"/>
      <c r="AG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7"/>
      <c r="S617" s="6"/>
      <c r="T617" s="6"/>
      <c r="U617" s="6"/>
      <c r="V617" s="6"/>
      <c r="W617" s="7"/>
      <c r="X617" s="6"/>
      <c r="Y617" s="6"/>
      <c r="Z617" s="6"/>
      <c r="AA617" s="6"/>
      <c r="AB617" s="6"/>
      <c r="AC617" s="6"/>
      <c r="AD617" s="6"/>
      <c r="AE617" s="6"/>
      <c r="AF617" s="6"/>
      <c r="AG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7"/>
      <c r="S618" s="6"/>
      <c r="T618" s="6"/>
      <c r="U618" s="6"/>
      <c r="V618" s="6"/>
      <c r="W618" s="7"/>
      <c r="X618" s="6"/>
      <c r="Y618" s="6"/>
      <c r="Z618" s="6"/>
      <c r="AA618" s="6"/>
      <c r="AB618" s="6"/>
      <c r="AC618" s="6"/>
      <c r="AD618" s="6"/>
      <c r="AE618" s="6"/>
      <c r="AF618" s="6"/>
      <c r="AG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7"/>
      <c r="S619" s="6"/>
      <c r="T619" s="6"/>
      <c r="U619" s="6"/>
      <c r="V619" s="6"/>
      <c r="W619" s="7"/>
      <c r="X619" s="6"/>
      <c r="Y619" s="6"/>
      <c r="Z619" s="6"/>
      <c r="AA619" s="6"/>
      <c r="AB619" s="6"/>
      <c r="AC619" s="6"/>
      <c r="AD619" s="6"/>
      <c r="AE619" s="6"/>
      <c r="AF619" s="6"/>
      <c r="AG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7"/>
      <c r="S620" s="6"/>
      <c r="T620" s="6"/>
      <c r="U620" s="6"/>
      <c r="V620" s="6"/>
      <c r="W620" s="7"/>
      <c r="X620" s="6"/>
      <c r="Y620" s="6"/>
      <c r="Z620" s="6"/>
      <c r="AA620" s="6"/>
      <c r="AB620" s="6"/>
      <c r="AC620" s="6"/>
      <c r="AD620" s="6"/>
      <c r="AE620" s="6"/>
      <c r="AF620" s="6"/>
      <c r="AG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7"/>
      <c r="S621" s="6"/>
      <c r="T621" s="6"/>
      <c r="U621" s="6"/>
      <c r="V621" s="6"/>
      <c r="W621" s="7"/>
      <c r="X621" s="6"/>
      <c r="Y621" s="6"/>
      <c r="Z621" s="6"/>
      <c r="AA621" s="6"/>
      <c r="AB621" s="6"/>
      <c r="AC621" s="6"/>
      <c r="AD621" s="6"/>
      <c r="AE621" s="6"/>
      <c r="AF621" s="6"/>
      <c r="AG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7"/>
      <c r="S622" s="6"/>
      <c r="T622" s="6"/>
      <c r="U622" s="6"/>
      <c r="V622" s="6"/>
      <c r="W622" s="7"/>
      <c r="X622" s="6"/>
      <c r="Y622" s="6"/>
      <c r="Z622" s="6"/>
      <c r="AA622" s="6"/>
      <c r="AB622" s="6"/>
      <c r="AC622" s="6"/>
      <c r="AD622" s="6"/>
      <c r="AE622" s="6"/>
      <c r="AF622" s="6"/>
      <c r="AG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7"/>
      <c r="S623" s="6"/>
      <c r="T623" s="6"/>
      <c r="U623" s="6"/>
      <c r="V623" s="6"/>
      <c r="W623" s="7"/>
      <c r="X623" s="6"/>
      <c r="Y623" s="6"/>
      <c r="Z623" s="6"/>
      <c r="AA623" s="6"/>
      <c r="AB623" s="6"/>
      <c r="AC623" s="6"/>
      <c r="AD623" s="6"/>
      <c r="AE623" s="6"/>
      <c r="AF623" s="6"/>
      <c r="AG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7"/>
      <c r="S624" s="6"/>
      <c r="T624" s="6"/>
      <c r="U624" s="6"/>
      <c r="V624" s="6"/>
      <c r="W624" s="7"/>
      <c r="X624" s="6"/>
      <c r="Y624" s="6"/>
      <c r="Z624" s="6"/>
      <c r="AA624" s="6"/>
      <c r="AB624" s="6"/>
      <c r="AC624" s="6"/>
      <c r="AD624" s="6"/>
      <c r="AE624" s="6"/>
      <c r="AF624" s="6"/>
      <c r="AG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7"/>
      <c r="S625" s="6"/>
      <c r="T625" s="6"/>
      <c r="U625" s="6"/>
      <c r="V625" s="6"/>
      <c r="W625" s="7"/>
      <c r="X625" s="6"/>
      <c r="Y625" s="6"/>
      <c r="Z625" s="6"/>
      <c r="AA625" s="6"/>
      <c r="AB625" s="6"/>
      <c r="AC625" s="6"/>
      <c r="AD625" s="6"/>
      <c r="AE625" s="6"/>
      <c r="AF625" s="6"/>
      <c r="AG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7"/>
      <c r="S626" s="6"/>
      <c r="T626" s="6"/>
      <c r="U626" s="6"/>
      <c r="V626" s="6"/>
      <c r="W626" s="7"/>
      <c r="X626" s="6"/>
      <c r="Y626" s="6"/>
      <c r="Z626" s="6"/>
      <c r="AA626" s="6"/>
      <c r="AB626" s="6"/>
      <c r="AC626" s="6"/>
      <c r="AD626" s="6"/>
      <c r="AE626" s="6"/>
      <c r="AF626" s="6"/>
      <c r="AG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7"/>
      <c r="S627" s="6"/>
      <c r="T627" s="6"/>
      <c r="U627" s="6"/>
      <c r="V627" s="6"/>
      <c r="W627" s="7"/>
      <c r="X627" s="6"/>
      <c r="Y627" s="6"/>
      <c r="Z627" s="6"/>
      <c r="AA627" s="6"/>
      <c r="AB627" s="6"/>
      <c r="AC627" s="6"/>
      <c r="AD627" s="6"/>
      <c r="AE627" s="6"/>
      <c r="AF627" s="6"/>
      <c r="AG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7"/>
      <c r="S628" s="6"/>
      <c r="T628" s="6"/>
      <c r="U628" s="6"/>
      <c r="V628" s="6"/>
      <c r="W628" s="7"/>
      <c r="X628" s="6"/>
      <c r="Y628" s="6"/>
      <c r="Z628" s="6"/>
      <c r="AA628" s="6"/>
      <c r="AB628" s="6"/>
      <c r="AC628" s="6"/>
      <c r="AD628" s="6"/>
      <c r="AE628" s="6"/>
      <c r="AF628" s="6"/>
      <c r="AG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7"/>
      <c r="S629" s="6"/>
      <c r="T629" s="6"/>
      <c r="U629" s="6"/>
      <c r="V629" s="6"/>
      <c r="W629" s="7"/>
      <c r="X629" s="6"/>
      <c r="Y629" s="6"/>
      <c r="Z629" s="6"/>
      <c r="AA629" s="6"/>
      <c r="AB629" s="6"/>
      <c r="AC629" s="6"/>
      <c r="AD629" s="6"/>
      <c r="AE629" s="6"/>
      <c r="AF629" s="6"/>
      <c r="AG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7"/>
      <c r="S630" s="6"/>
      <c r="T630" s="6"/>
      <c r="U630" s="6"/>
      <c r="V630" s="6"/>
      <c r="W630" s="7"/>
      <c r="X630" s="6"/>
      <c r="Y630" s="6"/>
      <c r="Z630" s="6"/>
      <c r="AA630" s="6"/>
      <c r="AB630" s="6"/>
      <c r="AC630" s="6"/>
      <c r="AD630" s="6"/>
      <c r="AE630" s="6"/>
      <c r="AF630" s="6"/>
      <c r="AG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7"/>
      <c r="S631" s="6"/>
      <c r="T631" s="6"/>
      <c r="U631" s="6"/>
      <c r="V631" s="6"/>
      <c r="W631" s="7"/>
      <c r="X631" s="6"/>
      <c r="Y631" s="6"/>
      <c r="Z631" s="6"/>
      <c r="AA631" s="6"/>
      <c r="AB631" s="6"/>
      <c r="AC631" s="6"/>
      <c r="AD631" s="6"/>
      <c r="AE631" s="6"/>
      <c r="AF631" s="6"/>
      <c r="AG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7"/>
      <c r="S632" s="6"/>
      <c r="T632" s="6"/>
      <c r="U632" s="6"/>
      <c r="V632" s="6"/>
      <c r="W632" s="7"/>
      <c r="X632" s="6"/>
      <c r="Y632" s="6"/>
      <c r="Z632" s="6"/>
      <c r="AA632" s="6"/>
      <c r="AB632" s="6"/>
      <c r="AC632" s="6"/>
      <c r="AD632" s="6"/>
      <c r="AE632" s="6"/>
      <c r="AF632" s="6"/>
      <c r="AG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7"/>
      <c r="S633" s="6"/>
      <c r="T633" s="6"/>
      <c r="U633" s="6"/>
      <c r="V633" s="6"/>
      <c r="W633" s="7"/>
      <c r="X633" s="6"/>
      <c r="Y633" s="6"/>
      <c r="Z633" s="6"/>
      <c r="AA633" s="6"/>
      <c r="AB633" s="6"/>
      <c r="AC633" s="6"/>
      <c r="AD633" s="6"/>
      <c r="AE633" s="6"/>
      <c r="AF633" s="6"/>
      <c r="AG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7"/>
      <c r="S634" s="6"/>
      <c r="T634" s="6"/>
      <c r="U634" s="6"/>
      <c r="V634" s="6"/>
      <c r="W634" s="7"/>
      <c r="X634" s="6"/>
      <c r="Y634" s="6"/>
      <c r="Z634" s="6"/>
      <c r="AA634" s="6"/>
      <c r="AB634" s="6"/>
      <c r="AC634" s="6"/>
      <c r="AD634" s="6"/>
      <c r="AE634" s="6"/>
      <c r="AF634" s="6"/>
      <c r="AG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7"/>
      <c r="S635" s="6"/>
      <c r="T635" s="6"/>
      <c r="U635" s="6"/>
      <c r="V635" s="6"/>
      <c r="W635" s="7"/>
      <c r="X635" s="6"/>
      <c r="Y635" s="6"/>
      <c r="Z635" s="6"/>
      <c r="AA635" s="6"/>
      <c r="AB635" s="6"/>
      <c r="AC635" s="6"/>
      <c r="AD635" s="6"/>
      <c r="AE635" s="6"/>
      <c r="AF635" s="6"/>
      <c r="AG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7"/>
      <c r="S636" s="6"/>
      <c r="T636" s="6"/>
      <c r="U636" s="6"/>
      <c r="V636" s="6"/>
      <c r="W636" s="7"/>
      <c r="X636" s="6"/>
      <c r="Y636" s="6"/>
      <c r="Z636" s="6"/>
      <c r="AA636" s="6"/>
      <c r="AB636" s="6"/>
      <c r="AC636" s="6"/>
      <c r="AD636" s="6"/>
      <c r="AE636" s="6"/>
      <c r="AF636" s="6"/>
      <c r="AG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7"/>
      <c r="S637" s="6"/>
      <c r="T637" s="6"/>
      <c r="U637" s="6"/>
      <c r="V637" s="6"/>
      <c r="W637" s="7"/>
      <c r="X637" s="6"/>
      <c r="Y637" s="6"/>
      <c r="Z637" s="6"/>
      <c r="AA637" s="6"/>
      <c r="AB637" s="6"/>
      <c r="AC637" s="6"/>
      <c r="AD637" s="6"/>
      <c r="AE637" s="6"/>
      <c r="AF637" s="6"/>
      <c r="AG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7"/>
      <c r="S638" s="6"/>
      <c r="T638" s="6"/>
      <c r="U638" s="6"/>
      <c r="V638" s="6"/>
      <c r="W638" s="7"/>
      <c r="X638" s="6"/>
      <c r="Y638" s="6"/>
      <c r="Z638" s="6"/>
      <c r="AA638" s="6"/>
      <c r="AB638" s="6"/>
      <c r="AC638" s="6"/>
      <c r="AD638" s="6"/>
      <c r="AE638" s="6"/>
      <c r="AF638" s="6"/>
      <c r="AG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7"/>
      <c r="S639" s="6"/>
      <c r="T639" s="6"/>
      <c r="U639" s="6"/>
      <c r="V639" s="6"/>
      <c r="W639" s="7"/>
      <c r="X639" s="6"/>
      <c r="Y639" s="6"/>
      <c r="Z639" s="6"/>
      <c r="AA639" s="6"/>
      <c r="AB639" s="6"/>
      <c r="AC639" s="6"/>
      <c r="AD639" s="6"/>
      <c r="AE639" s="6"/>
      <c r="AF639" s="6"/>
      <c r="AG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7"/>
      <c r="S640" s="6"/>
      <c r="T640" s="6"/>
      <c r="U640" s="6"/>
      <c r="V640" s="6"/>
      <c r="W640" s="7"/>
      <c r="X640" s="6"/>
      <c r="Y640" s="6"/>
      <c r="Z640" s="6"/>
      <c r="AA640" s="6"/>
      <c r="AB640" s="6"/>
      <c r="AC640" s="6"/>
      <c r="AD640" s="6"/>
      <c r="AE640" s="6"/>
      <c r="AF640" s="6"/>
      <c r="AG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7"/>
      <c r="S641" s="6"/>
      <c r="T641" s="6"/>
      <c r="U641" s="6"/>
      <c r="V641" s="6"/>
      <c r="W641" s="7"/>
      <c r="X641" s="6"/>
      <c r="Y641" s="6"/>
      <c r="Z641" s="6"/>
      <c r="AA641" s="6"/>
      <c r="AB641" s="6"/>
      <c r="AC641" s="6"/>
      <c r="AD641" s="6"/>
      <c r="AE641" s="6"/>
      <c r="AF641" s="6"/>
      <c r="AG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7"/>
      <c r="S642" s="6"/>
      <c r="T642" s="6"/>
      <c r="U642" s="6"/>
      <c r="V642" s="6"/>
      <c r="W642" s="7"/>
      <c r="X642" s="6"/>
      <c r="Y642" s="6"/>
      <c r="Z642" s="6"/>
      <c r="AA642" s="6"/>
      <c r="AB642" s="6"/>
      <c r="AC642" s="6"/>
      <c r="AD642" s="6"/>
      <c r="AE642" s="6"/>
      <c r="AF642" s="6"/>
      <c r="AG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7"/>
      <c r="S643" s="6"/>
      <c r="T643" s="6"/>
      <c r="U643" s="6"/>
      <c r="V643" s="6"/>
      <c r="W643" s="7"/>
      <c r="X643" s="6"/>
      <c r="Y643" s="6"/>
      <c r="Z643" s="6"/>
      <c r="AA643" s="6"/>
      <c r="AB643" s="6"/>
      <c r="AC643" s="6"/>
      <c r="AD643" s="6"/>
      <c r="AE643" s="6"/>
      <c r="AF643" s="6"/>
      <c r="AG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7"/>
      <c r="S644" s="6"/>
      <c r="T644" s="6"/>
      <c r="U644" s="6"/>
      <c r="V644" s="6"/>
      <c r="W644" s="7"/>
      <c r="X644" s="6"/>
      <c r="Y644" s="6"/>
      <c r="Z644" s="6"/>
      <c r="AA644" s="6"/>
      <c r="AB644" s="6"/>
      <c r="AC644" s="6"/>
      <c r="AD644" s="6"/>
      <c r="AE644" s="6"/>
      <c r="AF644" s="6"/>
      <c r="AG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7"/>
      <c r="S645" s="6"/>
      <c r="T645" s="6"/>
      <c r="U645" s="6"/>
      <c r="V645" s="6"/>
      <c r="W645" s="7"/>
      <c r="X645" s="6"/>
      <c r="Y645" s="6"/>
      <c r="Z645" s="6"/>
      <c r="AA645" s="6"/>
      <c r="AB645" s="6"/>
      <c r="AC645" s="6"/>
      <c r="AD645" s="6"/>
      <c r="AE645" s="6"/>
      <c r="AF645" s="6"/>
      <c r="AG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7"/>
      <c r="S646" s="6"/>
      <c r="T646" s="6"/>
      <c r="U646" s="6"/>
      <c r="V646" s="6"/>
      <c r="W646" s="7"/>
      <c r="X646" s="6"/>
      <c r="Y646" s="6"/>
      <c r="Z646" s="6"/>
      <c r="AA646" s="6"/>
      <c r="AB646" s="6"/>
      <c r="AC646" s="6"/>
      <c r="AD646" s="6"/>
      <c r="AE646" s="6"/>
      <c r="AF646" s="6"/>
      <c r="AG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7"/>
      <c r="S647" s="6"/>
      <c r="T647" s="6"/>
      <c r="U647" s="6"/>
      <c r="V647" s="6"/>
      <c r="W647" s="7"/>
      <c r="X647" s="6"/>
      <c r="Y647" s="6"/>
      <c r="Z647" s="6"/>
      <c r="AA647" s="6"/>
      <c r="AB647" s="6"/>
      <c r="AC647" s="6"/>
      <c r="AD647" s="6"/>
      <c r="AE647" s="6"/>
      <c r="AF647" s="6"/>
      <c r="AG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/>
      <c r="S648" s="6"/>
      <c r="T648" s="6"/>
      <c r="U648" s="6"/>
      <c r="V648" s="6"/>
      <c r="W648" s="7"/>
      <c r="X648" s="6"/>
      <c r="Y648" s="6"/>
      <c r="Z648" s="6"/>
      <c r="AA648" s="6"/>
      <c r="AB648" s="6"/>
      <c r="AC648" s="6"/>
      <c r="AD648" s="6"/>
      <c r="AE648" s="6"/>
      <c r="AF648" s="6"/>
      <c r="AG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/>
      <c r="S649" s="6"/>
      <c r="T649" s="6"/>
      <c r="U649" s="6"/>
      <c r="V649" s="6"/>
      <c r="W649" s="7"/>
      <c r="X649" s="6"/>
      <c r="Y649" s="6"/>
      <c r="Z649" s="6"/>
      <c r="AA649" s="6"/>
      <c r="AB649" s="6"/>
      <c r="AC649" s="6"/>
      <c r="AD649" s="6"/>
      <c r="AE649" s="6"/>
      <c r="AF649" s="6"/>
      <c r="AG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/>
      <c r="S650" s="6"/>
      <c r="T650" s="6"/>
      <c r="U650" s="6"/>
      <c r="V650" s="6"/>
      <c r="W650" s="7"/>
      <c r="X650" s="6"/>
      <c r="Y650" s="6"/>
      <c r="Z650" s="6"/>
      <c r="AA650" s="6"/>
      <c r="AB650" s="6"/>
      <c r="AC650" s="6"/>
      <c r="AD650" s="6"/>
      <c r="AE650" s="6"/>
      <c r="AF650" s="6"/>
      <c r="AG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7"/>
      <c r="S651" s="6"/>
      <c r="T651" s="6"/>
      <c r="U651" s="6"/>
      <c r="V651" s="6"/>
      <c r="W651" s="7"/>
      <c r="X651" s="6"/>
      <c r="Y651" s="6"/>
      <c r="Z651" s="6"/>
      <c r="AA651" s="6"/>
      <c r="AB651" s="6"/>
      <c r="AC651" s="6"/>
      <c r="AD651" s="6"/>
      <c r="AE651" s="6"/>
      <c r="AF651" s="6"/>
      <c r="AG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7"/>
      <c r="S652" s="6"/>
      <c r="T652" s="6"/>
      <c r="U652" s="6"/>
      <c r="V652" s="6"/>
      <c r="W652" s="7"/>
      <c r="X652" s="6"/>
      <c r="Y652" s="6"/>
      <c r="Z652" s="6"/>
      <c r="AA652" s="6"/>
      <c r="AB652" s="6"/>
      <c r="AC652" s="6"/>
      <c r="AD652" s="6"/>
      <c r="AE652" s="6"/>
      <c r="AF652" s="6"/>
      <c r="AG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7"/>
      <c r="S653" s="6"/>
      <c r="T653" s="6"/>
      <c r="U653" s="6"/>
      <c r="V653" s="6"/>
      <c r="W653" s="7"/>
      <c r="X653" s="6"/>
      <c r="Y653" s="6"/>
      <c r="Z653" s="6"/>
      <c r="AA653" s="6"/>
      <c r="AB653" s="6"/>
      <c r="AC653" s="6"/>
      <c r="AD653" s="6"/>
      <c r="AE653" s="6"/>
      <c r="AF653" s="6"/>
      <c r="AG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7"/>
      <c r="S654" s="6"/>
      <c r="T654" s="6"/>
      <c r="U654" s="6"/>
      <c r="V654" s="6"/>
      <c r="W654" s="7"/>
      <c r="X654" s="6"/>
      <c r="Y654" s="6"/>
      <c r="Z654" s="6"/>
      <c r="AA654" s="6"/>
      <c r="AB654" s="6"/>
      <c r="AC654" s="6"/>
      <c r="AD654" s="6"/>
      <c r="AE654" s="6"/>
      <c r="AF654" s="6"/>
      <c r="AG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7"/>
      <c r="S655" s="6"/>
      <c r="T655" s="6"/>
      <c r="U655" s="6"/>
      <c r="V655" s="6"/>
      <c r="W655" s="7"/>
      <c r="X655" s="6"/>
      <c r="Y655" s="6"/>
      <c r="Z655" s="6"/>
      <c r="AA655" s="6"/>
      <c r="AB655" s="6"/>
      <c r="AC655" s="6"/>
      <c r="AD655" s="6"/>
      <c r="AE655" s="6"/>
      <c r="AF655" s="6"/>
      <c r="AG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7"/>
      <c r="S656" s="6"/>
      <c r="T656" s="6"/>
      <c r="U656" s="6"/>
      <c r="V656" s="6"/>
      <c r="W656" s="7"/>
      <c r="X656" s="6"/>
      <c r="Y656" s="6"/>
      <c r="Z656" s="6"/>
      <c r="AA656" s="6"/>
      <c r="AB656" s="6"/>
      <c r="AC656" s="6"/>
      <c r="AD656" s="6"/>
      <c r="AE656" s="6"/>
      <c r="AF656" s="6"/>
      <c r="AG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7"/>
      <c r="S657" s="6"/>
      <c r="T657" s="6"/>
      <c r="U657" s="6"/>
      <c r="V657" s="6"/>
      <c r="W657" s="7"/>
      <c r="X657" s="6"/>
      <c r="Y657" s="6"/>
      <c r="Z657" s="6"/>
      <c r="AA657" s="6"/>
      <c r="AB657" s="6"/>
      <c r="AC657" s="6"/>
      <c r="AD657" s="6"/>
      <c r="AE657" s="6"/>
      <c r="AF657" s="6"/>
      <c r="AG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7"/>
      <c r="S658" s="6"/>
      <c r="T658" s="6"/>
      <c r="U658" s="6"/>
      <c r="V658" s="6"/>
      <c r="W658" s="7"/>
      <c r="X658" s="6"/>
      <c r="Y658" s="6"/>
      <c r="Z658" s="6"/>
      <c r="AA658" s="6"/>
      <c r="AB658" s="6"/>
      <c r="AC658" s="6"/>
      <c r="AD658" s="6"/>
      <c r="AE658" s="6"/>
      <c r="AF658" s="6"/>
      <c r="AG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7"/>
      <c r="S659" s="6"/>
      <c r="T659" s="6"/>
      <c r="U659" s="6"/>
      <c r="V659" s="6"/>
      <c r="W659" s="7"/>
      <c r="X659" s="6"/>
      <c r="Y659" s="6"/>
      <c r="Z659" s="6"/>
      <c r="AA659" s="6"/>
      <c r="AB659" s="6"/>
      <c r="AC659" s="6"/>
      <c r="AD659" s="6"/>
      <c r="AE659" s="6"/>
      <c r="AF659" s="6"/>
      <c r="AG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7"/>
      <c r="S660" s="6"/>
      <c r="T660" s="6"/>
      <c r="U660" s="6"/>
      <c r="V660" s="6"/>
      <c r="W660" s="7"/>
      <c r="X660" s="6"/>
      <c r="Y660" s="6"/>
      <c r="Z660" s="6"/>
      <c r="AA660" s="6"/>
      <c r="AB660" s="6"/>
      <c r="AC660" s="6"/>
      <c r="AD660" s="6"/>
      <c r="AE660" s="6"/>
      <c r="AF660" s="6"/>
      <c r="AG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7"/>
      <c r="S661" s="6"/>
      <c r="T661" s="6"/>
      <c r="U661" s="6"/>
      <c r="V661" s="6"/>
      <c r="W661" s="7"/>
      <c r="X661" s="6"/>
      <c r="Y661" s="6"/>
      <c r="Z661" s="6"/>
      <c r="AA661" s="6"/>
      <c r="AB661" s="6"/>
      <c r="AC661" s="6"/>
      <c r="AD661" s="6"/>
      <c r="AE661" s="6"/>
      <c r="AF661" s="6"/>
      <c r="AG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7"/>
      <c r="S662" s="6"/>
      <c r="T662" s="6"/>
      <c r="U662" s="6"/>
      <c r="V662" s="6"/>
      <c r="W662" s="7"/>
      <c r="X662" s="6"/>
      <c r="Y662" s="6"/>
      <c r="Z662" s="6"/>
      <c r="AA662" s="6"/>
      <c r="AB662" s="6"/>
      <c r="AC662" s="6"/>
      <c r="AD662" s="6"/>
      <c r="AE662" s="6"/>
      <c r="AF662" s="6"/>
      <c r="AG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7"/>
      <c r="S663" s="6"/>
      <c r="T663" s="6"/>
      <c r="U663" s="6"/>
      <c r="V663" s="6"/>
      <c r="W663" s="7"/>
      <c r="X663" s="6"/>
      <c r="Y663" s="6"/>
      <c r="Z663" s="6"/>
      <c r="AA663" s="6"/>
      <c r="AB663" s="6"/>
      <c r="AC663" s="6"/>
      <c r="AD663" s="6"/>
      <c r="AE663" s="6"/>
      <c r="AF663" s="6"/>
      <c r="AG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7"/>
      <c r="S664" s="6"/>
      <c r="T664" s="6"/>
      <c r="U664" s="6"/>
      <c r="V664" s="6"/>
      <c r="W664" s="7"/>
      <c r="X664" s="6"/>
      <c r="Y664" s="6"/>
      <c r="Z664" s="6"/>
      <c r="AA664" s="6"/>
      <c r="AB664" s="6"/>
      <c r="AC664" s="6"/>
      <c r="AD664" s="6"/>
      <c r="AE664" s="6"/>
      <c r="AF664" s="6"/>
      <c r="AG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7"/>
      <c r="S665" s="6"/>
      <c r="T665" s="6"/>
      <c r="U665" s="6"/>
      <c r="V665" s="6"/>
      <c r="W665" s="7"/>
      <c r="X665" s="6"/>
      <c r="Y665" s="6"/>
      <c r="Z665" s="6"/>
      <c r="AA665" s="6"/>
      <c r="AB665" s="6"/>
      <c r="AC665" s="6"/>
      <c r="AD665" s="6"/>
      <c r="AE665" s="6"/>
      <c r="AF665" s="6"/>
      <c r="AG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7"/>
      <c r="S666" s="6"/>
      <c r="T666" s="6"/>
      <c r="U666" s="6"/>
      <c r="V666" s="6"/>
      <c r="W666" s="7"/>
      <c r="X666" s="6"/>
      <c r="Y666" s="6"/>
      <c r="Z666" s="6"/>
      <c r="AA666" s="6"/>
      <c r="AB666" s="6"/>
      <c r="AC666" s="6"/>
      <c r="AD666" s="6"/>
      <c r="AE666" s="6"/>
      <c r="AF666" s="6"/>
      <c r="AG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7"/>
      <c r="S667" s="6"/>
      <c r="T667" s="6"/>
      <c r="U667" s="6"/>
      <c r="V667" s="6"/>
      <c r="W667" s="7"/>
      <c r="X667" s="6"/>
      <c r="Y667" s="6"/>
      <c r="Z667" s="6"/>
      <c r="AA667" s="6"/>
      <c r="AB667" s="6"/>
      <c r="AC667" s="6"/>
      <c r="AD667" s="6"/>
      <c r="AE667" s="6"/>
      <c r="AF667" s="6"/>
      <c r="AG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7"/>
      <c r="S668" s="6"/>
      <c r="T668" s="6"/>
      <c r="U668" s="6"/>
      <c r="V668" s="6"/>
      <c r="W668" s="7"/>
      <c r="X668" s="6"/>
      <c r="Y668" s="6"/>
      <c r="Z668" s="6"/>
      <c r="AA668" s="6"/>
      <c r="AB668" s="6"/>
      <c r="AC668" s="6"/>
      <c r="AD668" s="6"/>
      <c r="AE668" s="6"/>
      <c r="AF668" s="6"/>
      <c r="AG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7"/>
      <c r="S669" s="6"/>
      <c r="T669" s="6"/>
      <c r="U669" s="6"/>
      <c r="V669" s="6"/>
      <c r="W669" s="7"/>
      <c r="X669" s="6"/>
      <c r="Y669" s="6"/>
      <c r="Z669" s="6"/>
      <c r="AA669" s="6"/>
      <c r="AB669" s="6"/>
      <c r="AC669" s="6"/>
      <c r="AD669" s="6"/>
      <c r="AE669" s="6"/>
      <c r="AF669" s="6"/>
      <c r="AG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7"/>
      <c r="S670" s="6"/>
      <c r="T670" s="6"/>
      <c r="U670" s="6"/>
      <c r="V670" s="6"/>
      <c r="W670" s="7"/>
      <c r="X670" s="6"/>
      <c r="Y670" s="6"/>
      <c r="Z670" s="6"/>
      <c r="AA670" s="6"/>
      <c r="AB670" s="6"/>
      <c r="AC670" s="6"/>
      <c r="AD670" s="6"/>
      <c r="AE670" s="6"/>
      <c r="AF670" s="6"/>
      <c r="AG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7"/>
      <c r="S671" s="6"/>
      <c r="T671" s="6"/>
      <c r="U671" s="6"/>
      <c r="V671" s="6"/>
      <c r="W671" s="7"/>
      <c r="X671" s="6"/>
      <c r="Y671" s="6"/>
      <c r="Z671" s="6"/>
      <c r="AA671" s="6"/>
      <c r="AB671" s="6"/>
      <c r="AC671" s="6"/>
      <c r="AD671" s="6"/>
      <c r="AE671" s="6"/>
      <c r="AF671" s="6"/>
      <c r="AG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7"/>
      <c r="S672" s="6"/>
      <c r="T672" s="6"/>
      <c r="U672" s="6"/>
      <c r="V672" s="6"/>
      <c r="W672" s="7"/>
      <c r="X672" s="6"/>
      <c r="Y672" s="6"/>
      <c r="Z672" s="6"/>
      <c r="AA672" s="6"/>
      <c r="AB672" s="6"/>
      <c r="AC672" s="6"/>
      <c r="AD672" s="6"/>
      <c r="AE672" s="6"/>
      <c r="AF672" s="6"/>
      <c r="AG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7"/>
      <c r="S673" s="6"/>
      <c r="T673" s="6"/>
      <c r="U673" s="6"/>
      <c r="V673" s="6"/>
      <c r="W673" s="7"/>
      <c r="X673" s="6"/>
      <c r="Y673" s="6"/>
      <c r="Z673" s="6"/>
      <c r="AA673" s="6"/>
      <c r="AB673" s="6"/>
      <c r="AC673" s="6"/>
      <c r="AD673" s="6"/>
      <c r="AE673" s="6"/>
      <c r="AF673" s="6"/>
      <c r="AG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7"/>
      <c r="S674" s="6"/>
      <c r="T674" s="6"/>
      <c r="U674" s="6"/>
      <c r="V674" s="6"/>
      <c r="W674" s="7"/>
      <c r="X674" s="6"/>
      <c r="Y674" s="6"/>
      <c r="Z674" s="6"/>
      <c r="AA674" s="6"/>
      <c r="AB674" s="6"/>
      <c r="AC674" s="6"/>
      <c r="AD674" s="6"/>
      <c r="AE674" s="6"/>
      <c r="AF674" s="6"/>
      <c r="AG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7"/>
      <c r="S675" s="6"/>
      <c r="T675" s="6"/>
      <c r="U675" s="6"/>
      <c r="V675" s="6"/>
      <c r="W675" s="7"/>
      <c r="X675" s="6"/>
      <c r="Y675" s="6"/>
      <c r="Z675" s="6"/>
      <c r="AA675" s="6"/>
      <c r="AB675" s="6"/>
      <c r="AC675" s="6"/>
      <c r="AD675" s="6"/>
      <c r="AE675" s="6"/>
      <c r="AF675" s="6"/>
      <c r="AG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7"/>
      <c r="S676" s="6"/>
      <c r="T676" s="6"/>
      <c r="U676" s="6"/>
      <c r="V676" s="6"/>
      <c r="W676" s="7"/>
      <c r="X676" s="6"/>
      <c r="Y676" s="6"/>
      <c r="Z676" s="6"/>
      <c r="AA676" s="6"/>
      <c r="AB676" s="6"/>
      <c r="AC676" s="6"/>
      <c r="AD676" s="6"/>
      <c r="AE676" s="6"/>
      <c r="AF676" s="6"/>
      <c r="AG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7"/>
      <c r="S677" s="6"/>
      <c r="T677" s="6"/>
      <c r="U677" s="6"/>
      <c r="V677" s="6"/>
      <c r="W677" s="7"/>
      <c r="X677" s="6"/>
      <c r="Y677" s="6"/>
      <c r="Z677" s="6"/>
      <c r="AA677" s="6"/>
      <c r="AB677" s="6"/>
      <c r="AC677" s="6"/>
      <c r="AD677" s="6"/>
      <c r="AE677" s="6"/>
      <c r="AF677" s="6"/>
      <c r="AG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7"/>
      <c r="S678" s="6"/>
      <c r="T678" s="6"/>
      <c r="U678" s="6"/>
      <c r="V678" s="6"/>
      <c r="W678" s="7"/>
      <c r="X678" s="6"/>
      <c r="Y678" s="6"/>
      <c r="Z678" s="6"/>
      <c r="AA678" s="6"/>
      <c r="AB678" s="6"/>
      <c r="AC678" s="6"/>
      <c r="AD678" s="6"/>
      <c r="AE678" s="6"/>
      <c r="AF678" s="6"/>
      <c r="AG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7"/>
      <c r="S679" s="6"/>
      <c r="T679" s="6"/>
      <c r="U679" s="6"/>
      <c r="V679" s="6"/>
      <c r="W679" s="7"/>
      <c r="X679" s="6"/>
      <c r="Y679" s="6"/>
      <c r="Z679" s="6"/>
      <c r="AA679" s="6"/>
      <c r="AB679" s="6"/>
      <c r="AC679" s="6"/>
      <c r="AD679" s="6"/>
      <c r="AE679" s="6"/>
      <c r="AF679" s="6"/>
      <c r="AG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7"/>
      <c r="S680" s="6"/>
      <c r="T680" s="6"/>
      <c r="U680" s="6"/>
      <c r="V680" s="6"/>
      <c r="W680" s="7"/>
      <c r="X680" s="6"/>
      <c r="Y680" s="6"/>
      <c r="Z680" s="6"/>
      <c r="AA680" s="6"/>
      <c r="AB680" s="6"/>
      <c r="AC680" s="6"/>
      <c r="AD680" s="6"/>
      <c r="AE680" s="6"/>
      <c r="AF680" s="6"/>
      <c r="AG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7"/>
      <c r="S681" s="6"/>
      <c r="T681" s="6"/>
      <c r="U681" s="6"/>
      <c r="V681" s="6"/>
      <c r="W681" s="7"/>
      <c r="X681" s="6"/>
      <c r="Y681" s="6"/>
      <c r="Z681" s="6"/>
      <c r="AA681" s="6"/>
      <c r="AB681" s="6"/>
      <c r="AC681" s="6"/>
      <c r="AD681" s="6"/>
      <c r="AE681" s="6"/>
      <c r="AF681" s="6"/>
      <c r="AG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7"/>
      <c r="S682" s="6"/>
      <c r="T682" s="6"/>
      <c r="U682" s="6"/>
      <c r="V682" s="6"/>
      <c r="W682" s="7"/>
      <c r="X682" s="6"/>
      <c r="Y682" s="6"/>
      <c r="Z682" s="6"/>
      <c r="AA682" s="6"/>
      <c r="AB682" s="6"/>
      <c r="AC682" s="6"/>
      <c r="AD682" s="6"/>
      <c r="AE682" s="6"/>
      <c r="AF682" s="6"/>
      <c r="AG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7"/>
      <c r="S683" s="6"/>
      <c r="T683" s="6"/>
      <c r="U683" s="6"/>
      <c r="V683" s="6"/>
      <c r="W683" s="7"/>
      <c r="X683" s="6"/>
      <c r="Y683" s="6"/>
      <c r="Z683" s="6"/>
      <c r="AA683" s="6"/>
      <c r="AB683" s="6"/>
      <c r="AC683" s="6"/>
      <c r="AD683" s="6"/>
      <c r="AE683" s="6"/>
      <c r="AF683" s="6"/>
      <c r="AG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7"/>
      <c r="S684" s="6"/>
      <c r="T684" s="6"/>
      <c r="U684" s="6"/>
      <c r="V684" s="6"/>
      <c r="W684" s="7"/>
      <c r="X684" s="6"/>
      <c r="Y684" s="6"/>
      <c r="Z684" s="6"/>
      <c r="AA684" s="6"/>
      <c r="AB684" s="6"/>
      <c r="AC684" s="6"/>
      <c r="AD684" s="6"/>
      <c r="AE684" s="6"/>
      <c r="AF684" s="6"/>
      <c r="AG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7"/>
      <c r="S685" s="6"/>
      <c r="T685" s="6"/>
      <c r="U685" s="6"/>
      <c r="V685" s="6"/>
      <c r="W685" s="7"/>
      <c r="X685" s="6"/>
      <c r="Y685" s="6"/>
      <c r="Z685" s="6"/>
      <c r="AA685" s="6"/>
      <c r="AB685" s="6"/>
      <c r="AC685" s="6"/>
      <c r="AD685" s="6"/>
      <c r="AE685" s="6"/>
      <c r="AF685" s="6"/>
      <c r="AG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7"/>
      <c r="S686" s="6"/>
      <c r="T686" s="6"/>
      <c r="U686" s="6"/>
      <c r="V686" s="6"/>
      <c r="W686" s="7"/>
      <c r="X686" s="6"/>
      <c r="Y686" s="6"/>
      <c r="Z686" s="6"/>
      <c r="AA686" s="6"/>
      <c r="AB686" s="6"/>
      <c r="AC686" s="6"/>
      <c r="AD686" s="6"/>
      <c r="AE686" s="6"/>
      <c r="AF686" s="6"/>
      <c r="AG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7"/>
      <c r="S687" s="6"/>
      <c r="T687" s="6"/>
      <c r="U687" s="6"/>
      <c r="V687" s="6"/>
      <c r="W687" s="7"/>
      <c r="X687" s="6"/>
      <c r="Y687" s="6"/>
      <c r="Z687" s="6"/>
      <c r="AA687" s="6"/>
      <c r="AB687" s="6"/>
      <c r="AC687" s="6"/>
      <c r="AD687" s="6"/>
      <c r="AE687" s="6"/>
      <c r="AF687" s="6"/>
      <c r="AG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7"/>
      <c r="S688" s="6"/>
      <c r="T688" s="6"/>
      <c r="U688" s="6"/>
      <c r="V688" s="6"/>
      <c r="W688" s="7"/>
      <c r="X688" s="6"/>
      <c r="Y688" s="6"/>
      <c r="Z688" s="6"/>
      <c r="AA688" s="6"/>
      <c r="AB688" s="6"/>
      <c r="AC688" s="6"/>
      <c r="AD688" s="6"/>
      <c r="AE688" s="6"/>
      <c r="AF688" s="6"/>
      <c r="AG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7"/>
      <c r="S689" s="6"/>
      <c r="T689" s="6"/>
      <c r="U689" s="6"/>
      <c r="V689" s="6"/>
      <c r="W689" s="7"/>
      <c r="X689" s="6"/>
      <c r="Y689" s="6"/>
      <c r="Z689" s="6"/>
      <c r="AA689" s="6"/>
      <c r="AB689" s="6"/>
      <c r="AC689" s="6"/>
      <c r="AD689" s="6"/>
      <c r="AE689" s="6"/>
      <c r="AF689" s="6"/>
      <c r="AG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7"/>
      <c r="S690" s="6"/>
      <c r="T690" s="6"/>
      <c r="U690" s="6"/>
      <c r="V690" s="6"/>
      <c r="W690" s="7"/>
      <c r="X690" s="6"/>
      <c r="Y690" s="6"/>
      <c r="Z690" s="6"/>
      <c r="AA690" s="6"/>
      <c r="AB690" s="6"/>
      <c r="AC690" s="6"/>
      <c r="AD690" s="6"/>
      <c r="AE690" s="6"/>
      <c r="AF690" s="6"/>
      <c r="AG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7"/>
      <c r="S691" s="6"/>
      <c r="T691" s="6"/>
      <c r="U691" s="6"/>
      <c r="V691" s="6"/>
      <c r="W691" s="7"/>
      <c r="X691" s="6"/>
      <c r="Y691" s="6"/>
      <c r="Z691" s="6"/>
      <c r="AA691" s="6"/>
      <c r="AB691" s="6"/>
      <c r="AC691" s="6"/>
      <c r="AD691" s="6"/>
      <c r="AE691" s="6"/>
      <c r="AF691" s="6"/>
      <c r="AG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7"/>
      <c r="S692" s="6"/>
      <c r="T692" s="6"/>
      <c r="U692" s="6"/>
      <c r="V692" s="6"/>
      <c r="W692" s="7"/>
      <c r="X692" s="6"/>
      <c r="Y692" s="6"/>
      <c r="Z692" s="6"/>
      <c r="AA692" s="6"/>
      <c r="AB692" s="6"/>
      <c r="AC692" s="6"/>
      <c r="AD692" s="6"/>
      <c r="AE692" s="6"/>
      <c r="AF692" s="6"/>
      <c r="AG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7"/>
      <c r="S693" s="6"/>
      <c r="T693" s="6"/>
      <c r="U693" s="6"/>
      <c r="V693" s="6"/>
      <c r="W693" s="7"/>
      <c r="X693" s="6"/>
      <c r="Y693" s="6"/>
      <c r="Z693" s="6"/>
      <c r="AA693" s="6"/>
      <c r="AB693" s="6"/>
      <c r="AC693" s="6"/>
      <c r="AD693" s="6"/>
      <c r="AE693" s="6"/>
      <c r="AF693" s="6"/>
      <c r="AG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7"/>
      <c r="S694" s="6"/>
      <c r="T694" s="6"/>
      <c r="U694" s="6"/>
      <c r="V694" s="6"/>
      <c r="W694" s="7"/>
      <c r="X694" s="6"/>
      <c r="Y694" s="6"/>
      <c r="Z694" s="6"/>
      <c r="AA694" s="6"/>
      <c r="AB694" s="6"/>
      <c r="AC694" s="6"/>
      <c r="AD694" s="6"/>
      <c r="AE694" s="6"/>
      <c r="AF694" s="6"/>
      <c r="AG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7"/>
      <c r="S695" s="6"/>
      <c r="T695" s="6"/>
      <c r="U695" s="6"/>
      <c r="V695" s="6"/>
      <c r="W695" s="7"/>
      <c r="X695" s="6"/>
      <c r="Y695" s="6"/>
      <c r="Z695" s="6"/>
      <c r="AA695" s="6"/>
      <c r="AB695" s="6"/>
      <c r="AC695" s="6"/>
      <c r="AD695" s="6"/>
      <c r="AE695" s="6"/>
      <c r="AF695" s="6"/>
      <c r="AG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7"/>
      <c r="S696" s="6"/>
      <c r="T696" s="6"/>
      <c r="U696" s="6"/>
      <c r="V696" s="6"/>
      <c r="W696" s="7"/>
      <c r="X696" s="6"/>
      <c r="Y696" s="6"/>
      <c r="Z696" s="6"/>
      <c r="AA696" s="6"/>
      <c r="AB696" s="6"/>
      <c r="AC696" s="6"/>
      <c r="AD696" s="6"/>
      <c r="AE696" s="6"/>
      <c r="AF696" s="6"/>
      <c r="AG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7"/>
      <c r="S697" s="6"/>
      <c r="T697" s="6"/>
      <c r="U697" s="6"/>
      <c r="V697" s="6"/>
      <c r="W697" s="7"/>
      <c r="X697" s="6"/>
      <c r="Y697" s="6"/>
      <c r="Z697" s="6"/>
      <c r="AA697" s="6"/>
      <c r="AB697" s="6"/>
      <c r="AC697" s="6"/>
      <c r="AD697" s="6"/>
      <c r="AE697" s="6"/>
      <c r="AF697" s="6"/>
      <c r="AG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7"/>
      <c r="S698" s="6"/>
      <c r="T698" s="6"/>
      <c r="U698" s="6"/>
      <c r="V698" s="6"/>
      <c r="W698" s="7"/>
      <c r="X698" s="6"/>
      <c r="Y698" s="6"/>
      <c r="Z698" s="6"/>
      <c r="AA698" s="6"/>
      <c r="AB698" s="6"/>
      <c r="AC698" s="6"/>
      <c r="AD698" s="6"/>
      <c r="AE698" s="6"/>
      <c r="AF698" s="6"/>
      <c r="AG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7"/>
      <c r="S699" s="6"/>
      <c r="T699" s="6"/>
      <c r="U699" s="6"/>
      <c r="V699" s="6"/>
      <c r="W699" s="7"/>
      <c r="X699" s="6"/>
      <c r="Y699" s="6"/>
      <c r="Z699" s="6"/>
      <c r="AA699" s="6"/>
      <c r="AB699" s="6"/>
      <c r="AC699" s="6"/>
      <c r="AD699" s="6"/>
      <c r="AE699" s="6"/>
      <c r="AF699" s="6"/>
      <c r="AG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7"/>
      <c r="S700" s="6"/>
      <c r="T700" s="6"/>
      <c r="U700" s="6"/>
      <c r="V700" s="6"/>
      <c r="W700" s="7"/>
      <c r="X700" s="6"/>
      <c r="Y700" s="6"/>
      <c r="Z700" s="6"/>
      <c r="AA700" s="6"/>
      <c r="AB700" s="6"/>
      <c r="AC700" s="6"/>
      <c r="AD700" s="6"/>
      <c r="AE700" s="6"/>
      <c r="AF700" s="6"/>
      <c r="AG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7"/>
      <c r="S701" s="6"/>
      <c r="T701" s="6"/>
      <c r="U701" s="6"/>
      <c r="V701" s="6"/>
      <c r="W701" s="7"/>
      <c r="X701" s="6"/>
      <c r="Y701" s="6"/>
      <c r="Z701" s="6"/>
      <c r="AA701" s="6"/>
      <c r="AB701" s="6"/>
      <c r="AC701" s="6"/>
      <c r="AD701" s="6"/>
      <c r="AE701" s="6"/>
      <c r="AF701" s="6"/>
      <c r="AG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7"/>
      <c r="S702" s="6"/>
      <c r="T702" s="6"/>
      <c r="U702" s="6"/>
      <c r="V702" s="6"/>
      <c r="W702" s="7"/>
      <c r="X702" s="6"/>
      <c r="Y702" s="6"/>
      <c r="Z702" s="6"/>
      <c r="AA702" s="6"/>
      <c r="AB702" s="6"/>
      <c r="AC702" s="6"/>
      <c r="AD702" s="6"/>
      <c r="AE702" s="6"/>
      <c r="AF702" s="6"/>
      <c r="AG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7"/>
      <c r="S703" s="6"/>
      <c r="T703" s="6"/>
      <c r="U703" s="6"/>
      <c r="V703" s="6"/>
      <c r="W703" s="7"/>
      <c r="X703" s="6"/>
      <c r="Y703" s="6"/>
      <c r="Z703" s="6"/>
      <c r="AA703" s="6"/>
      <c r="AB703" s="6"/>
      <c r="AC703" s="6"/>
      <c r="AD703" s="6"/>
      <c r="AE703" s="6"/>
      <c r="AF703" s="6"/>
      <c r="AG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7"/>
      <c r="S704" s="6"/>
      <c r="T704" s="6"/>
      <c r="U704" s="6"/>
      <c r="V704" s="6"/>
      <c r="W704" s="7"/>
      <c r="X704" s="6"/>
      <c r="Y704" s="6"/>
      <c r="Z704" s="6"/>
      <c r="AA704" s="6"/>
      <c r="AB704" s="6"/>
      <c r="AC704" s="6"/>
      <c r="AD704" s="6"/>
      <c r="AE704" s="6"/>
      <c r="AF704" s="6"/>
      <c r="AG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7"/>
      <c r="S705" s="6"/>
      <c r="T705" s="6"/>
      <c r="U705" s="6"/>
      <c r="V705" s="6"/>
      <c r="W705" s="7"/>
      <c r="X705" s="6"/>
      <c r="Y705" s="6"/>
      <c r="Z705" s="6"/>
      <c r="AA705" s="6"/>
      <c r="AB705" s="6"/>
      <c r="AC705" s="6"/>
      <c r="AD705" s="6"/>
      <c r="AE705" s="6"/>
      <c r="AF705" s="6"/>
      <c r="AG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7"/>
      <c r="S706" s="6"/>
      <c r="T706" s="6"/>
      <c r="U706" s="6"/>
      <c r="V706" s="6"/>
      <c r="W706" s="7"/>
      <c r="X706" s="6"/>
      <c r="Y706" s="6"/>
      <c r="Z706" s="6"/>
      <c r="AA706" s="6"/>
      <c r="AB706" s="6"/>
      <c r="AC706" s="6"/>
      <c r="AD706" s="6"/>
      <c r="AE706" s="6"/>
      <c r="AF706" s="6"/>
      <c r="AG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7"/>
      <c r="S707" s="6"/>
      <c r="T707" s="6"/>
      <c r="U707" s="6"/>
      <c r="V707" s="6"/>
      <c r="W707" s="7"/>
      <c r="X707" s="6"/>
      <c r="Y707" s="6"/>
      <c r="Z707" s="6"/>
      <c r="AA707" s="6"/>
      <c r="AB707" s="6"/>
      <c r="AC707" s="6"/>
      <c r="AD707" s="6"/>
      <c r="AE707" s="6"/>
      <c r="AF707" s="6"/>
      <c r="AG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/>
      <c r="S708" s="6"/>
      <c r="T708" s="6"/>
      <c r="U708" s="6"/>
      <c r="V708" s="6"/>
      <c r="W708" s="7"/>
      <c r="X708" s="6"/>
      <c r="Y708" s="6"/>
      <c r="Z708" s="6"/>
      <c r="AA708" s="6"/>
      <c r="AB708" s="6"/>
      <c r="AC708" s="6"/>
      <c r="AD708" s="6"/>
      <c r="AE708" s="6"/>
      <c r="AF708" s="6"/>
      <c r="AG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7"/>
      <c r="S709" s="6"/>
      <c r="T709" s="6"/>
      <c r="U709" s="6"/>
      <c r="V709" s="6"/>
      <c r="W709" s="7"/>
      <c r="X709" s="6"/>
      <c r="Y709" s="6"/>
      <c r="Z709" s="6"/>
      <c r="AA709" s="6"/>
      <c r="AB709" s="6"/>
      <c r="AC709" s="6"/>
      <c r="AD709" s="6"/>
      <c r="AE709" s="6"/>
      <c r="AF709" s="6"/>
      <c r="AG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7"/>
      <c r="S710" s="6"/>
      <c r="T710" s="6"/>
      <c r="U710" s="6"/>
      <c r="V710" s="6"/>
      <c r="W710" s="7"/>
      <c r="X710" s="6"/>
      <c r="Y710" s="6"/>
      <c r="Z710" s="6"/>
      <c r="AA710" s="6"/>
      <c r="AB710" s="6"/>
      <c r="AC710" s="6"/>
      <c r="AD710" s="6"/>
      <c r="AE710" s="6"/>
      <c r="AF710" s="6"/>
      <c r="AG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7"/>
      <c r="S711" s="6"/>
      <c r="T711" s="6"/>
      <c r="U711" s="6"/>
      <c r="V711" s="6"/>
      <c r="W711" s="7"/>
      <c r="X711" s="6"/>
      <c r="Y711" s="6"/>
      <c r="Z711" s="6"/>
      <c r="AA711" s="6"/>
      <c r="AB711" s="6"/>
      <c r="AC711" s="6"/>
      <c r="AD711" s="6"/>
      <c r="AE711" s="6"/>
      <c r="AF711" s="6"/>
      <c r="AG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7"/>
      <c r="S712" s="6"/>
      <c r="T712" s="6"/>
      <c r="U712" s="6"/>
      <c r="V712" s="6"/>
      <c r="W712" s="7"/>
      <c r="X712" s="6"/>
      <c r="Y712" s="6"/>
      <c r="Z712" s="6"/>
      <c r="AA712" s="6"/>
      <c r="AB712" s="6"/>
      <c r="AC712" s="6"/>
      <c r="AD712" s="6"/>
      <c r="AE712" s="6"/>
      <c r="AF712" s="6"/>
      <c r="AG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/>
      <c r="S713" s="6"/>
      <c r="T713" s="6"/>
      <c r="U713" s="6"/>
      <c r="V713" s="6"/>
      <c r="W713" s="7"/>
      <c r="X713" s="6"/>
      <c r="Y713" s="6"/>
      <c r="Z713" s="6"/>
      <c r="AA713" s="6"/>
      <c r="AB713" s="6"/>
      <c r="AC713" s="6"/>
      <c r="AD713" s="6"/>
      <c r="AE713" s="6"/>
      <c r="AF713" s="6"/>
      <c r="AG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7"/>
      <c r="S714" s="6"/>
      <c r="T714" s="6"/>
      <c r="U714" s="6"/>
      <c r="V714" s="6"/>
      <c r="W714" s="7"/>
      <c r="X714" s="6"/>
      <c r="Y714" s="6"/>
      <c r="Z714" s="6"/>
      <c r="AA714" s="6"/>
      <c r="AB714" s="6"/>
      <c r="AC714" s="6"/>
      <c r="AD714" s="6"/>
      <c r="AE714" s="6"/>
      <c r="AF714" s="6"/>
      <c r="AG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7"/>
      <c r="S715" s="6"/>
      <c r="T715" s="6"/>
      <c r="U715" s="6"/>
      <c r="V715" s="6"/>
      <c r="W715" s="7"/>
      <c r="X715" s="6"/>
      <c r="Y715" s="6"/>
      <c r="Z715" s="6"/>
      <c r="AA715" s="6"/>
      <c r="AB715" s="6"/>
      <c r="AC715" s="6"/>
      <c r="AD715" s="6"/>
      <c r="AE715" s="6"/>
      <c r="AF715" s="6"/>
      <c r="AG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7"/>
      <c r="S716" s="6"/>
      <c r="T716" s="6"/>
      <c r="U716" s="6"/>
      <c r="V716" s="6"/>
      <c r="W716" s="7"/>
      <c r="X716" s="6"/>
      <c r="Y716" s="6"/>
      <c r="Z716" s="6"/>
      <c r="AA716" s="6"/>
      <c r="AB716" s="6"/>
      <c r="AC716" s="6"/>
      <c r="AD716" s="6"/>
      <c r="AE716" s="6"/>
      <c r="AF716" s="6"/>
      <c r="AG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7"/>
      <c r="S717" s="6"/>
      <c r="T717" s="6"/>
      <c r="U717" s="6"/>
      <c r="V717" s="6"/>
      <c r="W717" s="7"/>
      <c r="X717" s="6"/>
      <c r="Y717" s="6"/>
      <c r="Z717" s="6"/>
      <c r="AA717" s="6"/>
      <c r="AB717" s="6"/>
      <c r="AC717" s="6"/>
      <c r="AD717" s="6"/>
      <c r="AE717" s="6"/>
      <c r="AF717" s="6"/>
      <c r="AG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7"/>
      <c r="S718" s="6"/>
      <c r="T718" s="6"/>
      <c r="U718" s="6"/>
      <c r="V718" s="6"/>
      <c r="W718" s="7"/>
      <c r="X718" s="6"/>
      <c r="Y718" s="6"/>
      <c r="Z718" s="6"/>
      <c r="AA718" s="6"/>
      <c r="AB718" s="6"/>
      <c r="AC718" s="6"/>
      <c r="AD718" s="6"/>
      <c r="AE718" s="6"/>
      <c r="AF718" s="6"/>
      <c r="AG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7"/>
      <c r="S719" s="6"/>
      <c r="T719" s="6"/>
      <c r="U719" s="6"/>
      <c r="V719" s="6"/>
      <c r="W719" s="7"/>
      <c r="X719" s="6"/>
      <c r="Y719" s="6"/>
      <c r="Z719" s="6"/>
      <c r="AA719" s="6"/>
      <c r="AB719" s="6"/>
      <c r="AC719" s="6"/>
      <c r="AD719" s="6"/>
      <c r="AE719" s="6"/>
      <c r="AF719" s="6"/>
      <c r="AG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/>
      <c r="S720" s="6"/>
      <c r="T720" s="6"/>
      <c r="U720" s="6"/>
      <c r="V720" s="6"/>
      <c r="W720" s="7"/>
      <c r="X720" s="6"/>
      <c r="Y720" s="6"/>
      <c r="Z720" s="6"/>
      <c r="AA720" s="6"/>
      <c r="AB720" s="6"/>
      <c r="AC720" s="6"/>
      <c r="AD720" s="6"/>
      <c r="AE720" s="6"/>
      <c r="AF720" s="6"/>
      <c r="AG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7"/>
      <c r="S721" s="6"/>
      <c r="T721" s="6"/>
      <c r="U721" s="6"/>
      <c r="V721" s="6"/>
      <c r="W721" s="7"/>
      <c r="X721" s="6"/>
      <c r="Y721" s="6"/>
      <c r="Z721" s="6"/>
      <c r="AA721" s="6"/>
      <c r="AB721" s="6"/>
      <c r="AC721" s="6"/>
      <c r="AD721" s="6"/>
      <c r="AE721" s="6"/>
      <c r="AF721" s="6"/>
      <c r="AG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7"/>
      <c r="S722" s="6"/>
      <c r="T722" s="6"/>
      <c r="U722" s="6"/>
      <c r="V722" s="6"/>
      <c r="W722" s="7"/>
      <c r="X722" s="6"/>
      <c r="Y722" s="6"/>
      <c r="Z722" s="6"/>
      <c r="AA722" s="6"/>
      <c r="AB722" s="6"/>
      <c r="AC722" s="6"/>
      <c r="AD722" s="6"/>
      <c r="AE722" s="6"/>
      <c r="AF722" s="6"/>
      <c r="AG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7"/>
      <c r="S723" s="6"/>
      <c r="T723" s="6"/>
      <c r="U723" s="6"/>
      <c r="V723" s="6"/>
      <c r="W723" s="7"/>
      <c r="X723" s="6"/>
      <c r="Y723" s="6"/>
      <c r="Z723" s="6"/>
      <c r="AA723" s="6"/>
      <c r="AB723" s="6"/>
      <c r="AC723" s="6"/>
      <c r="AD723" s="6"/>
      <c r="AE723" s="6"/>
      <c r="AF723" s="6"/>
      <c r="AG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7"/>
      <c r="S724" s="6"/>
      <c r="T724" s="6"/>
      <c r="U724" s="6"/>
      <c r="V724" s="6"/>
      <c r="W724" s="7"/>
      <c r="X724" s="6"/>
      <c r="Y724" s="6"/>
      <c r="Z724" s="6"/>
      <c r="AA724" s="6"/>
      <c r="AB724" s="6"/>
      <c r="AC724" s="6"/>
      <c r="AD724" s="6"/>
      <c r="AE724" s="6"/>
      <c r="AF724" s="6"/>
      <c r="AG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7"/>
      <c r="S725" s="6"/>
      <c r="T725" s="6"/>
      <c r="U725" s="6"/>
      <c r="V725" s="6"/>
      <c r="W725" s="7"/>
      <c r="X725" s="6"/>
      <c r="Y725" s="6"/>
      <c r="Z725" s="6"/>
      <c r="AA725" s="6"/>
      <c r="AB725" s="6"/>
      <c r="AC725" s="6"/>
      <c r="AD725" s="6"/>
      <c r="AE725" s="6"/>
      <c r="AF725" s="6"/>
      <c r="AG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7"/>
      <c r="S726" s="6"/>
      <c r="T726" s="6"/>
      <c r="U726" s="6"/>
      <c r="V726" s="6"/>
      <c r="W726" s="7"/>
      <c r="X726" s="6"/>
      <c r="Y726" s="6"/>
      <c r="Z726" s="6"/>
      <c r="AA726" s="6"/>
      <c r="AB726" s="6"/>
      <c r="AC726" s="6"/>
      <c r="AD726" s="6"/>
      <c r="AE726" s="6"/>
      <c r="AF726" s="6"/>
      <c r="AG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7"/>
      <c r="S727" s="6"/>
      <c r="T727" s="6"/>
      <c r="U727" s="6"/>
      <c r="V727" s="6"/>
      <c r="W727" s="7"/>
      <c r="X727" s="6"/>
      <c r="Y727" s="6"/>
      <c r="Z727" s="6"/>
      <c r="AA727" s="6"/>
      <c r="AB727" s="6"/>
      <c r="AC727" s="6"/>
      <c r="AD727" s="6"/>
      <c r="AE727" s="6"/>
      <c r="AF727" s="6"/>
      <c r="AG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7"/>
      <c r="S728" s="6"/>
      <c r="T728" s="6"/>
      <c r="U728" s="6"/>
      <c r="V728" s="6"/>
      <c r="W728" s="7"/>
      <c r="X728" s="6"/>
      <c r="Y728" s="6"/>
      <c r="Z728" s="6"/>
      <c r="AA728" s="6"/>
      <c r="AB728" s="6"/>
      <c r="AC728" s="6"/>
      <c r="AD728" s="6"/>
      <c r="AE728" s="6"/>
      <c r="AF728" s="6"/>
      <c r="AG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7"/>
      <c r="S729" s="6"/>
      <c r="T729" s="6"/>
      <c r="U729" s="6"/>
      <c r="V729" s="6"/>
      <c r="W729" s="7"/>
      <c r="X729" s="6"/>
      <c r="Y729" s="6"/>
      <c r="Z729" s="6"/>
      <c r="AA729" s="6"/>
      <c r="AB729" s="6"/>
      <c r="AC729" s="6"/>
      <c r="AD729" s="6"/>
      <c r="AE729" s="6"/>
      <c r="AF729" s="6"/>
      <c r="AG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7"/>
      <c r="S730" s="6"/>
      <c r="T730" s="6"/>
      <c r="U730" s="6"/>
      <c r="V730" s="6"/>
      <c r="W730" s="7"/>
      <c r="X730" s="6"/>
      <c r="Y730" s="6"/>
      <c r="Z730" s="6"/>
      <c r="AA730" s="6"/>
      <c r="AB730" s="6"/>
      <c r="AC730" s="6"/>
      <c r="AD730" s="6"/>
      <c r="AE730" s="6"/>
      <c r="AF730" s="6"/>
      <c r="AG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/>
      <c r="S731" s="6"/>
      <c r="T731" s="6"/>
      <c r="U731" s="6"/>
      <c r="V731" s="6"/>
      <c r="W731" s="7"/>
      <c r="X731" s="6"/>
      <c r="Y731" s="6"/>
      <c r="Z731" s="6"/>
      <c r="AA731" s="6"/>
      <c r="AB731" s="6"/>
      <c r="AC731" s="6"/>
      <c r="AD731" s="6"/>
      <c r="AE731" s="6"/>
      <c r="AF731" s="6"/>
      <c r="AG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7"/>
      <c r="S732" s="6"/>
      <c r="T732" s="6"/>
      <c r="U732" s="6"/>
      <c r="V732" s="6"/>
      <c r="W732" s="7"/>
      <c r="X732" s="6"/>
      <c r="Y732" s="6"/>
      <c r="Z732" s="6"/>
      <c r="AA732" s="6"/>
      <c r="AB732" s="6"/>
      <c r="AC732" s="6"/>
      <c r="AD732" s="6"/>
      <c r="AE732" s="6"/>
      <c r="AF732" s="6"/>
      <c r="AG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7"/>
      <c r="S733" s="6"/>
      <c r="T733" s="6"/>
      <c r="U733" s="6"/>
      <c r="V733" s="6"/>
      <c r="W733" s="7"/>
      <c r="X733" s="6"/>
      <c r="Y733" s="6"/>
      <c r="Z733" s="6"/>
      <c r="AA733" s="6"/>
      <c r="AB733" s="6"/>
      <c r="AC733" s="6"/>
      <c r="AD733" s="6"/>
      <c r="AE733" s="6"/>
      <c r="AF733" s="6"/>
      <c r="AG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7"/>
      <c r="S734" s="6"/>
      <c r="T734" s="6"/>
      <c r="U734" s="6"/>
      <c r="V734" s="6"/>
      <c r="W734" s="7"/>
      <c r="X734" s="6"/>
      <c r="Y734" s="6"/>
      <c r="Z734" s="6"/>
      <c r="AA734" s="6"/>
      <c r="AB734" s="6"/>
      <c r="AC734" s="6"/>
      <c r="AD734" s="6"/>
      <c r="AE734" s="6"/>
      <c r="AF734" s="6"/>
      <c r="AG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7"/>
      <c r="S735" s="6"/>
      <c r="T735" s="6"/>
      <c r="U735" s="6"/>
      <c r="V735" s="6"/>
      <c r="W735" s="7"/>
      <c r="X735" s="6"/>
      <c r="Y735" s="6"/>
      <c r="Z735" s="6"/>
      <c r="AA735" s="6"/>
      <c r="AB735" s="6"/>
      <c r="AC735" s="6"/>
      <c r="AD735" s="6"/>
      <c r="AE735" s="6"/>
      <c r="AF735" s="6"/>
      <c r="AG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7"/>
      <c r="S736" s="6"/>
      <c r="T736" s="6"/>
      <c r="U736" s="6"/>
      <c r="V736" s="6"/>
      <c r="W736" s="7"/>
      <c r="X736" s="6"/>
      <c r="Y736" s="6"/>
      <c r="Z736" s="6"/>
      <c r="AA736" s="6"/>
      <c r="AB736" s="6"/>
      <c r="AC736" s="6"/>
      <c r="AD736" s="6"/>
      <c r="AE736" s="6"/>
      <c r="AF736" s="6"/>
      <c r="AG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7"/>
      <c r="S737" s="6"/>
      <c r="T737" s="6"/>
      <c r="U737" s="6"/>
      <c r="V737" s="6"/>
      <c r="W737" s="7"/>
      <c r="X737" s="6"/>
      <c r="Y737" s="6"/>
      <c r="Z737" s="6"/>
      <c r="AA737" s="6"/>
      <c r="AB737" s="6"/>
      <c r="AC737" s="6"/>
      <c r="AD737" s="6"/>
      <c r="AE737" s="6"/>
      <c r="AF737" s="6"/>
      <c r="AG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7"/>
      <c r="S738" s="6"/>
      <c r="T738" s="6"/>
      <c r="U738" s="6"/>
      <c r="V738" s="6"/>
      <c r="W738" s="7"/>
      <c r="X738" s="6"/>
      <c r="Y738" s="6"/>
      <c r="Z738" s="6"/>
      <c r="AA738" s="6"/>
      <c r="AB738" s="6"/>
      <c r="AC738" s="6"/>
      <c r="AD738" s="6"/>
      <c r="AE738" s="6"/>
      <c r="AF738" s="6"/>
      <c r="AG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7"/>
      <c r="S739" s="6"/>
      <c r="T739" s="6"/>
      <c r="U739" s="6"/>
      <c r="V739" s="6"/>
      <c r="W739" s="7"/>
      <c r="X739" s="6"/>
      <c r="Y739" s="6"/>
      <c r="Z739" s="6"/>
      <c r="AA739" s="6"/>
      <c r="AB739" s="6"/>
      <c r="AC739" s="6"/>
      <c r="AD739" s="6"/>
      <c r="AE739" s="6"/>
      <c r="AF739" s="6"/>
      <c r="AG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7"/>
      <c r="S740" s="6"/>
      <c r="T740" s="6"/>
      <c r="U740" s="6"/>
      <c r="V740" s="6"/>
      <c r="W740" s="7"/>
      <c r="X740" s="6"/>
      <c r="Y740" s="6"/>
      <c r="Z740" s="6"/>
      <c r="AA740" s="6"/>
      <c r="AB740" s="6"/>
      <c r="AC740" s="6"/>
      <c r="AD740" s="6"/>
      <c r="AE740" s="6"/>
      <c r="AF740" s="6"/>
      <c r="AG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7"/>
      <c r="S741" s="6"/>
      <c r="T741" s="6"/>
      <c r="U741" s="6"/>
      <c r="V741" s="6"/>
      <c r="W741" s="7"/>
      <c r="X741" s="6"/>
      <c r="Y741" s="6"/>
      <c r="Z741" s="6"/>
      <c r="AA741" s="6"/>
      <c r="AB741" s="6"/>
      <c r="AC741" s="6"/>
      <c r="AD741" s="6"/>
      <c r="AE741" s="6"/>
      <c r="AF741" s="6"/>
      <c r="AG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7"/>
      <c r="S742" s="6"/>
      <c r="T742" s="6"/>
      <c r="U742" s="6"/>
      <c r="V742" s="6"/>
      <c r="W742" s="7"/>
      <c r="X742" s="6"/>
      <c r="Y742" s="6"/>
      <c r="Z742" s="6"/>
      <c r="AA742" s="6"/>
      <c r="AB742" s="6"/>
      <c r="AC742" s="6"/>
      <c r="AD742" s="6"/>
      <c r="AE742" s="6"/>
      <c r="AF742" s="6"/>
      <c r="AG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7"/>
      <c r="S743" s="6"/>
      <c r="T743" s="6"/>
      <c r="U743" s="6"/>
      <c r="V743" s="6"/>
      <c r="W743" s="7"/>
      <c r="X743" s="6"/>
      <c r="Y743" s="6"/>
      <c r="Z743" s="6"/>
      <c r="AA743" s="6"/>
      <c r="AB743" s="6"/>
      <c r="AC743" s="6"/>
      <c r="AD743" s="6"/>
      <c r="AE743" s="6"/>
      <c r="AF743" s="6"/>
      <c r="AG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7"/>
      <c r="S744" s="6"/>
      <c r="T744" s="6"/>
      <c r="U744" s="6"/>
      <c r="V744" s="6"/>
      <c r="W744" s="7"/>
      <c r="X744" s="6"/>
      <c r="Y744" s="6"/>
      <c r="Z744" s="6"/>
      <c r="AA744" s="6"/>
      <c r="AB744" s="6"/>
      <c r="AC744" s="6"/>
      <c r="AD744" s="6"/>
      <c r="AE744" s="6"/>
      <c r="AF744" s="6"/>
      <c r="AG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7"/>
      <c r="S745" s="6"/>
      <c r="T745" s="6"/>
      <c r="U745" s="6"/>
      <c r="V745" s="6"/>
      <c r="W745" s="7"/>
      <c r="X745" s="6"/>
      <c r="Y745" s="6"/>
      <c r="Z745" s="6"/>
      <c r="AA745" s="6"/>
      <c r="AB745" s="6"/>
      <c r="AC745" s="6"/>
      <c r="AD745" s="6"/>
      <c r="AE745" s="6"/>
      <c r="AF745" s="6"/>
      <c r="AG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7"/>
      <c r="S746" s="6"/>
      <c r="T746" s="6"/>
      <c r="U746" s="6"/>
      <c r="V746" s="6"/>
      <c r="W746" s="7"/>
      <c r="X746" s="6"/>
      <c r="Y746" s="6"/>
      <c r="Z746" s="6"/>
      <c r="AA746" s="6"/>
      <c r="AB746" s="6"/>
      <c r="AC746" s="6"/>
      <c r="AD746" s="6"/>
      <c r="AE746" s="6"/>
      <c r="AF746" s="6"/>
      <c r="AG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7"/>
      <c r="S747" s="6"/>
      <c r="T747" s="6"/>
      <c r="U747" s="6"/>
      <c r="V747" s="6"/>
      <c r="W747" s="7"/>
      <c r="X747" s="6"/>
      <c r="Y747" s="6"/>
      <c r="Z747" s="6"/>
      <c r="AA747" s="6"/>
      <c r="AB747" s="6"/>
      <c r="AC747" s="6"/>
      <c r="AD747" s="6"/>
      <c r="AE747" s="6"/>
      <c r="AF747" s="6"/>
      <c r="AG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7"/>
      <c r="S748" s="6"/>
      <c r="T748" s="6"/>
      <c r="U748" s="6"/>
      <c r="V748" s="6"/>
      <c r="W748" s="7"/>
      <c r="X748" s="6"/>
      <c r="Y748" s="6"/>
      <c r="Z748" s="6"/>
      <c r="AA748" s="6"/>
      <c r="AB748" s="6"/>
      <c r="AC748" s="6"/>
      <c r="AD748" s="6"/>
      <c r="AE748" s="6"/>
      <c r="AF748" s="6"/>
      <c r="AG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7"/>
      <c r="S749" s="6"/>
      <c r="T749" s="6"/>
      <c r="U749" s="6"/>
      <c r="V749" s="6"/>
      <c r="W749" s="7"/>
      <c r="X749" s="6"/>
      <c r="Y749" s="6"/>
      <c r="Z749" s="6"/>
      <c r="AA749" s="6"/>
      <c r="AB749" s="6"/>
      <c r="AC749" s="6"/>
      <c r="AD749" s="6"/>
      <c r="AE749" s="6"/>
      <c r="AF749" s="6"/>
      <c r="AG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7"/>
      <c r="S750" s="6"/>
      <c r="T750" s="6"/>
      <c r="U750" s="6"/>
      <c r="V750" s="6"/>
      <c r="W750" s="7"/>
      <c r="X750" s="6"/>
      <c r="Y750" s="6"/>
      <c r="Z750" s="6"/>
      <c r="AA750" s="6"/>
      <c r="AB750" s="6"/>
      <c r="AC750" s="6"/>
      <c r="AD750" s="6"/>
      <c r="AE750" s="6"/>
      <c r="AF750" s="6"/>
      <c r="AG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7"/>
      <c r="S751" s="6"/>
      <c r="T751" s="6"/>
      <c r="U751" s="6"/>
      <c r="V751" s="6"/>
      <c r="W751" s="7"/>
      <c r="X751" s="6"/>
      <c r="Y751" s="6"/>
      <c r="Z751" s="6"/>
      <c r="AA751" s="6"/>
      <c r="AB751" s="6"/>
      <c r="AC751" s="6"/>
      <c r="AD751" s="6"/>
      <c r="AE751" s="6"/>
      <c r="AF751" s="6"/>
      <c r="AG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7"/>
      <c r="S752" s="6"/>
      <c r="T752" s="6"/>
      <c r="U752" s="6"/>
      <c r="V752" s="6"/>
      <c r="W752" s="7"/>
      <c r="X752" s="6"/>
      <c r="Y752" s="6"/>
      <c r="Z752" s="6"/>
      <c r="AA752" s="6"/>
      <c r="AB752" s="6"/>
      <c r="AC752" s="6"/>
      <c r="AD752" s="6"/>
      <c r="AE752" s="6"/>
      <c r="AF752" s="6"/>
      <c r="AG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7"/>
      <c r="S753" s="6"/>
      <c r="T753" s="6"/>
      <c r="U753" s="6"/>
      <c r="V753" s="6"/>
      <c r="W753" s="7"/>
      <c r="X753" s="6"/>
      <c r="Y753" s="6"/>
      <c r="Z753" s="6"/>
      <c r="AA753" s="6"/>
      <c r="AB753" s="6"/>
      <c r="AC753" s="6"/>
      <c r="AD753" s="6"/>
      <c r="AE753" s="6"/>
      <c r="AF753" s="6"/>
      <c r="AG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7"/>
      <c r="S754" s="6"/>
      <c r="T754" s="6"/>
      <c r="U754" s="6"/>
      <c r="V754" s="6"/>
      <c r="W754" s="7"/>
      <c r="X754" s="6"/>
      <c r="Y754" s="6"/>
      <c r="Z754" s="6"/>
      <c r="AA754" s="6"/>
      <c r="AB754" s="6"/>
      <c r="AC754" s="6"/>
      <c r="AD754" s="6"/>
      <c r="AE754" s="6"/>
      <c r="AF754" s="6"/>
      <c r="AG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7"/>
      <c r="S755" s="6"/>
      <c r="T755" s="6"/>
      <c r="U755" s="6"/>
      <c r="V755" s="6"/>
      <c r="W755" s="7"/>
      <c r="X755" s="6"/>
      <c r="Y755" s="6"/>
      <c r="Z755" s="6"/>
      <c r="AA755" s="6"/>
      <c r="AB755" s="6"/>
      <c r="AC755" s="6"/>
      <c r="AD755" s="6"/>
      <c r="AE755" s="6"/>
      <c r="AF755" s="6"/>
      <c r="AG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7"/>
      <c r="S756" s="6"/>
      <c r="T756" s="6"/>
      <c r="U756" s="6"/>
      <c r="V756" s="6"/>
      <c r="W756" s="7"/>
      <c r="X756" s="6"/>
      <c r="Y756" s="6"/>
      <c r="Z756" s="6"/>
      <c r="AA756" s="6"/>
      <c r="AB756" s="6"/>
      <c r="AC756" s="6"/>
      <c r="AD756" s="6"/>
      <c r="AE756" s="6"/>
      <c r="AF756" s="6"/>
      <c r="AG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7"/>
      <c r="S757" s="6"/>
      <c r="T757" s="6"/>
      <c r="U757" s="6"/>
      <c r="V757" s="6"/>
      <c r="W757" s="7"/>
      <c r="X757" s="6"/>
      <c r="Y757" s="6"/>
      <c r="Z757" s="6"/>
      <c r="AA757" s="6"/>
      <c r="AB757" s="6"/>
      <c r="AC757" s="6"/>
      <c r="AD757" s="6"/>
      <c r="AE757" s="6"/>
      <c r="AF757" s="6"/>
      <c r="AG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7"/>
      <c r="S758" s="6"/>
      <c r="T758" s="6"/>
      <c r="U758" s="6"/>
      <c r="V758" s="6"/>
      <c r="W758" s="7"/>
      <c r="X758" s="6"/>
      <c r="Y758" s="6"/>
      <c r="Z758" s="6"/>
      <c r="AA758" s="6"/>
      <c r="AB758" s="6"/>
      <c r="AC758" s="6"/>
      <c r="AD758" s="6"/>
      <c r="AE758" s="6"/>
      <c r="AF758" s="6"/>
      <c r="AG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7"/>
      <c r="S759" s="6"/>
      <c r="T759" s="6"/>
      <c r="U759" s="6"/>
      <c r="V759" s="6"/>
      <c r="W759" s="7"/>
      <c r="X759" s="6"/>
      <c r="Y759" s="6"/>
      <c r="Z759" s="6"/>
      <c r="AA759" s="6"/>
      <c r="AB759" s="6"/>
      <c r="AC759" s="6"/>
      <c r="AD759" s="6"/>
      <c r="AE759" s="6"/>
      <c r="AF759" s="6"/>
      <c r="AG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7"/>
      <c r="S760" s="6"/>
      <c r="T760" s="6"/>
      <c r="U760" s="6"/>
      <c r="V760" s="6"/>
      <c r="W760" s="7"/>
      <c r="X760" s="6"/>
      <c r="Y760" s="6"/>
      <c r="Z760" s="6"/>
      <c r="AA760" s="6"/>
      <c r="AB760" s="6"/>
      <c r="AC760" s="6"/>
      <c r="AD760" s="6"/>
      <c r="AE760" s="6"/>
      <c r="AF760" s="6"/>
      <c r="AG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7"/>
      <c r="S761" s="6"/>
      <c r="T761" s="6"/>
      <c r="U761" s="6"/>
      <c r="V761" s="6"/>
      <c r="W761" s="7"/>
      <c r="X761" s="6"/>
      <c r="Y761" s="6"/>
      <c r="Z761" s="6"/>
      <c r="AA761" s="6"/>
      <c r="AB761" s="6"/>
      <c r="AC761" s="6"/>
      <c r="AD761" s="6"/>
      <c r="AE761" s="6"/>
      <c r="AF761" s="6"/>
      <c r="AG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7"/>
      <c r="S762" s="6"/>
      <c r="T762" s="6"/>
      <c r="U762" s="6"/>
      <c r="V762" s="6"/>
      <c r="W762" s="7"/>
      <c r="X762" s="6"/>
      <c r="Y762" s="6"/>
      <c r="Z762" s="6"/>
      <c r="AA762" s="6"/>
      <c r="AB762" s="6"/>
      <c r="AC762" s="6"/>
      <c r="AD762" s="6"/>
      <c r="AE762" s="6"/>
      <c r="AF762" s="6"/>
      <c r="AG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7"/>
      <c r="S763" s="6"/>
      <c r="T763" s="6"/>
      <c r="U763" s="6"/>
      <c r="V763" s="6"/>
      <c r="W763" s="7"/>
      <c r="X763" s="6"/>
      <c r="Y763" s="6"/>
      <c r="Z763" s="6"/>
      <c r="AA763" s="6"/>
      <c r="AB763" s="6"/>
      <c r="AC763" s="6"/>
      <c r="AD763" s="6"/>
      <c r="AE763" s="6"/>
      <c r="AF763" s="6"/>
      <c r="AG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7"/>
      <c r="S764" s="6"/>
      <c r="T764" s="6"/>
      <c r="U764" s="6"/>
      <c r="V764" s="6"/>
      <c r="W764" s="7"/>
      <c r="X764" s="6"/>
      <c r="Y764" s="6"/>
      <c r="Z764" s="6"/>
      <c r="AA764" s="6"/>
      <c r="AB764" s="6"/>
      <c r="AC764" s="6"/>
      <c r="AD764" s="6"/>
      <c r="AE764" s="6"/>
      <c r="AF764" s="6"/>
      <c r="AG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7"/>
      <c r="S765" s="6"/>
      <c r="T765" s="6"/>
      <c r="U765" s="6"/>
      <c r="V765" s="6"/>
      <c r="W765" s="7"/>
      <c r="X765" s="6"/>
      <c r="Y765" s="6"/>
      <c r="Z765" s="6"/>
      <c r="AA765" s="6"/>
      <c r="AB765" s="6"/>
      <c r="AC765" s="6"/>
      <c r="AD765" s="6"/>
      <c r="AE765" s="6"/>
      <c r="AF765" s="6"/>
      <c r="AG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7"/>
      <c r="S766" s="6"/>
      <c r="T766" s="6"/>
      <c r="U766" s="6"/>
      <c r="V766" s="6"/>
      <c r="W766" s="7"/>
      <c r="X766" s="6"/>
      <c r="Y766" s="6"/>
      <c r="Z766" s="6"/>
      <c r="AA766" s="6"/>
      <c r="AB766" s="6"/>
      <c r="AC766" s="6"/>
      <c r="AD766" s="6"/>
      <c r="AE766" s="6"/>
      <c r="AF766" s="6"/>
      <c r="AG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7"/>
      <c r="S767" s="6"/>
      <c r="T767" s="6"/>
      <c r="U767" s="6"/>
      <c r="V767" s="6"/>
      <c r="W767" s="7"/>
      <c r="X767" s="6"/>
      <c r="Y767" s="6"/>
      <c r="Z767" s="6"/>
      <c r="AA767" s="6"/>
      <c r="AB767" s="6"/>
      <c r="AC767" s="6"/>
      <c r="AD767" s="6"/>
      <c r="AE767" s="6"/>
      <c r="AF767" s="6"/>
      <c r="AG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7"/>
      <c r="S768" s="6"/>
      <c r="T768" s="6"/>
      <c r="U768" s="6"/>
      <c r="V768" s="6"/>
      <c r="W768" s="7"/>
      <c r="X768" s="6"/>
      <c r="Y768" s="6"/>
      <c r="Z768" s="6"/>
      <c r="AA768" s="6"/>
      <c r="AB768" s="6"/>
      <c r="AC768" s="6"/>
      <c r="AD768" s="6"/>
      <c r="AE768" s="6"/>
      <c r="AF768" s="6"/>
      <c r="AG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7"/>
      <c r="S769" s="6"/>
      <c r="T769" s="6"/>
      <c r="U769" s="6"/>
      <c r="V769" s="6"/>
      <c r="W769" s="7"/>
      <c r="X769" s="6"/>
      <c r="Y769" s="6"/>
      <c r="Z769" s="6"/>
      <c r="AA769" s="6"/>
      <c r="AB769" s="6"/>
      <c r="AC769" s="6"/>
      <c r="AD769" s="6"/>
      <c r="AE769" s="6"/>
      <c r="AF769" s="6"/>
      <c r="AG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7"/>
      <c r="S770" s="6"/>
      <c r="T770" s="6"/>
      <c r="U770" s="6"/>
      <c r="V770" s="6"/>
      <c r="W770" s="7"/>
      <c r="X770" s="6"/>
      <c r="Y770" s="6"/>
      <c r="Z770" s="6"/>
      <c r="AA770" s="6"/>
      <c r="AB770" s="6"/>
      <c r="AC770" s="6"/>
      <c r="AD770" s="6"/>
      <c r="AE770" s="6"/>
      <c r="AF770" s="6"/>
      <c r="AG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7"/>
      <c r="S771" s="6"/>
      <c r="T771" s="6"/>
      <c r="U771" s="6"/>
      <c r="V771" s="6"/>
      <c r="W771" s="7"/>
      <c r="X771" s="6"/>
      <c r="Y771" s="6"/>
      <c r="Z771" s="6"/>
      <c r="AA771" s="6"/>
      <c r="AB771" s="6"/>
      <c r="AC771" s="6"/>
      <c r="AD771" s="6"/>
      <c r="AE771" s="6"/>
      <c r="AF771" s="6"/>
      <c r="AG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7"/>
      <c r="S772" s="6"/>
      <c r="T772" s="6"/>
      <c r="U772" s="6"/>
      <c r="V772" s="6"/>
      <c r="W772" s="7"/>
      <c r="X772" s="6"/>
      <c r="Y772" s="6"/>
      <c r="Z772" s="6"/>
      <c r="AA772" s="6"/>
      <c r="AB772" s="6"/>
      <c r="AC772" s="6"/>
      <c r="AD772" s="6"/>
      <c r="AE772" s="6"/>
      <c r="AF772" s="6"/>
      <c r="AG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7"/>
      <c r="S773" s="6"/>
      <c r="T773" s="6"/>
      <c r="U773" s="6"/>
      <c r="V773" s="6"/>
      <c r="W773" s="7"/>
      <c r="X773" s="6"/>
      <c r="Y773" s="6"/>
      <c r="Z773" s="6"/>
      <c r="AA773" s="6"/>
      <c r="AB773" s="6"/>
      <c r="AC773" s="6"/>
      <c r="AD773" s="6"/>
      <c r="AE773" s="6"/>
      <c r="AF773" s="6"/>
      <c r="AG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7"/>
      <c r="S774" s="6"/>
      <c r="T774" s="6"/>
      <c r="U774" s="6"/>
      <c r="V774" s="6"/>
      <c r="W774" s="7"/>
      <c r="X774" s="6"/>
      <c r="Y774" s="6"/>
      <c r="Z774" s="6"/>
      <c r="AA774" s="6"/>
      <c r="AB774" s="6"/>
      <c r="AC774" s="6"/>
      <c r="AD774" s="6"/>
      <c r="AE774" s="6"/>
      <c r="AF774" s="6"/>
      <c r="AG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7"/>
      <c r="S775" s="6"/>
      <c r="T775" s="6"/>
      <c r="U775" s="6"/>
      <c r="V775" s="6"/>
      <c r="W775" s="7"/>
      <c r="X775" s="6"/>
      <c r="Y775" s="6"/>
      <c r="Z775" s="6"/>
      <c r="AA775" s="6"/>
      <c r="AB775" s="6"/>
      <c r="AC775" s="6"/>
      <c r="AD775" s="6"/>
      <c r="AE775" s="6"/>
      <c r="AF775" s="6"/>
      <c r="AG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7"/>
      <c r="S776" s="6"/>
      <c r="T776" s="6"/>
      <c r="U776" s="6"/>
      <c r="V776" s="6"/>
      <c r="W776" s="7"/>
      <c r="X776" s="6"/>
      <c r="Y776" s="6"/>
      <c r="Z776" s="6"/>
      <c r="AA776" s="6"/>
      <c r="AB776" s="6"/>
      <c r="AC776" s="6"/>
      <c r="AD776" s="6"/>
      <c r="AE776" s="6"/>
      <c r="AF776" s="6"/>
      <c r="AG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7"/>
      <c r="S777" s="6"/>
      <c r="T777" s="6"/>
      <c r="U777" s="6"/>
      <c r="V777" s="6"/>
      <c r="W777" s="7"/>
      <c r="X777" s="6"/>
      <c r="Y777" s="6"/>
      <c r="Z777" s="6"/>
      <c r="AA777" s="6"/>
      <c r="AB777" s="6"/>
      <c r="AC777" s="6"/>
      <c r="AD777" s="6"/>
      <c r="AE777" s="6"/>
      <c r="AF777" s="6"/>
      <c r="AG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7"/>
      <c r="S778" s="6"/>
      <c r="T778" s="6"/>
      <c r="U778" s="6"/>
      <c r="V778" s="6"/>
      <c r="W778" s="7"/>
      <c r="X778" s="6"/>
      <c r="Y778" s="6"/>
      <c r="Z778" s="6"/>
      <c r="AA778" s="6"/>
      <c r="AB778" s="6"/>
      <c r="AC778" s="6"/>
      <c r="AD778" s="6"/>
      <c r="AE778" s="6"/>
      <c r="AF778" s="6"/>
      <c r="AG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7"/>
      <c r="S779" s="6"/>
      <c r="T779" s="6"/>
      <c r="U779" s="6"/>
      <c r="V779" s="6"/>
      <c r="W779" s="7"/>
      <c r="X779" s="6"/>
      <c r="Y779" s="6"/>
      <c r="Z779" s="6"/>
      <c r="AA779" s="6"/>
      <c r="AB779" s="6"/>
      <c r="AC779" s="6"/>
      <c r="AD779" s="6"/>
      <c r="AE779" s="6"/>
      <c r="AF779" s="6"/>
      <c r="AG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7"/>
      <c r="S780" s="6"/>
      <c r="T780" s="6"/>
      <c r="U780" s="6"/>
      <c r="V780" s="6"/>
      <c r="W780" s="7"/>
      <c r="X780" s="6"/>
      <c r="Y780" s="6"/>
      <c r="Z780" s="6"/>
      <c r="AA780" s="6"/>
      <c r="AB780" s="6"/>
      <c r="AC780" s="6"/>
      <c r="AD780" s="6"/>
      <c r="AE780" s="6"/>
      <c r="AF780" s="6"/>
      <c r="AG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7"/>
      <c r="S781" s="6"/>
      <c r="T781" s="6"/>
      <c r="U781" s="6"/>
      <c r="V781" s="6"/>
      <c r="W781" s="7"/>
      <c r="X781" s="6"/>
      <c r="Y781" s="6"/>
      <c r="Z781" s="6"/>
      <c r="AA781" s="6"/>
      <c r="AB781" s="6"/>
      <c r="AC781" s="6"/>
      <c r="AD781" s="6"/>
      <c r="AE781" s="6"/>
      <c r="AF781" s="6"/>
      <c r="AG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7"/>
      <c r="S782" s="6"/>
      <c r="T782" s="6"/>
      <c r="U782" s="6"/>
      <c r="V782" s="6"/>
      <c r="W782" s="7"/>
      <c r="X782" s="6"/>
      <c r="Y782" s="6"/>
      <c r="Z782" s="6"/>
      <c r="AA782" s="6"/>
      <c r="AB782" s="6"/>
      <c r="AC782" s="6"/>
      <c r="AD782" s="6"/>
      <c r="AE782" s="6"/>
      <c r="AF782" s="6"/>
      <c r="AG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7"/>
      <c r="S783" s="6"/>
      <c r="T783" s="6"/>
      <c r="U783" s="6"/>
      <c r="V783" s="6"/>
      <c r="W783" s="7"/>
      <c r="X783" s="6"/>
      <c r="Y783" s="6"/>
      <c r="Z783" s="6"/>
      <c r="AA783" s="6"/>
      <c r="AB783" s="6"/>
      <c r="AC783" s="6"/>
      <c r="AD783" s="6"/>
      <c r="AE783" s="6"/>
      <c r="AF783" s="6"/>
      <c r="AG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7"/>
      <c r="S784" s="6"/>
      <c r="T784" s="6"/>
      <c r="U784" s="6"/>
      <c r="V784" s="6"/>
      <c r="W784" s="7"/>
      <c r="X784" s="6"/>
      <c r="Y784" s="6"/>
      <c r="Z784" s="6"/>
      <c r="AA784" s="6"/>
      <c r="AB784" s="6"/>
      <c r="AC784" s="6"/>
      <c r="AD784" s="6"/>
      <c r="AE784" s="6"/>
      <c r="AF784" s="6"/>
      <c r="AG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7"/>
      <c r="S785" s="6"/>
      <c r="T785" s="6"/>
      <c r="U785" s="6"/>
      <c r="V785" s="6"/>
      <c r="W785" s="7"/>
      <c r="X785" s="6"/>
      <c r="Y785" s="6"/>
      <c r="Z785" s="6"/>
      <c r="AA785" s="6"/>
      <c r="AB785" s="6"/>
      <c r="AC785" s="6"/>
      <c r="AD785" s="6"/>
      <c r="AE785" s="6"/>
      <c r="AF785" s="6"/>
      <c r="AG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7"/>
      <c r="S786" s="6"/>
      <c r="T786" s="6"/>
      <c r="U786" s="6"/>
      <c r="V786" s="6"/>
      <c r="W786" s="7"/>
      <c r="X786" s="6"/>
      <c r="Y786" s="6"/>
      <c r="Z786" s="6"/>
      <c r="AA786" s="6"/>
      <c r="AB786" s="6"/>
      <c r="AC786" s="6"/>
      <c r="AD786" s="6"/>
      <c r="AE786" s="6"/>
      <c r="AF786" s="6"/>
      <c r="AG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7"/>
      <c r="S787" s="6"/>
      <c r="T787" s="6"/>
      <c r="U787" s="6"/>
      <c r="V787" s="6"/>
      <c r="W787" s="7"/>
      <c r="X787" s="6"/>
      <c r="Y787" s="6"/>
      <c r="Z787" s="6"/>
      <c r="AA787" s="6"/>
      <c r="AB787" s="6"/>
      <c r="AC787" s="6"/>
      <c r="AD787" s="6"/>
      <c r="AE787" s="6"/>
      <c r="AF787" s="6"/>
      <c r="AG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7"/>
      <c r="S788" s="6"/>
      <c r="T788" s="6"/>
      <c r="U788" s="6"/>
      <c r="V788" s="6"/>
      <c r="W788" s="7"/>
      <c r="X788" s="6"/>
      <c r="Y788" s="6"/>
      <c r="Z788" s="6"/>
      <c r="AA788" s="6"/>
      <c r="AB788" s="6"/>
      <c r="AC788" s="6"/>
      <c r="AD788" s="6"/>
      <c r="AE788" s="6"/>
      <c r="AF788" s="6"/>
      <c r="AG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7"/>
      <c r="S789" s="6"/>
      <c r="T789" s="6"/>
      <c r="U789" s="6"/>
      <c r="V789" s="6"/>
      <c r="W789" s="7"/>
      <c r="X789" s="6"/>
      <c r="Y789" s="6"/>
      <c r="Z789" s="6"/>
      <c r="AA789" s="6"/>
      <c r="AB789" s="6"/>
      <c r="AC789" s="6"/>
      <c r="AD789" s="6"/>
      <c r="AE789" s="6"/>
      <c r="AF789" s="6"/>
      <c r="AG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7"/>
      <c r="S790" s="6"/>
      <c r="T790" s="6"/>
      <c r="U790" s="6"/>
      <c r="V790" s="6"/>
      <c r="W790" s="7"/>
      <c r="X790" s="6"/>
      <c r="Y790" s="6"/>
      <c r="Z790" s="6"/>
      <c r="AA790" s="6"/>
      <c r="AB790" s="6"/>
      <c r="AC790" s="6"/>
      <c r="AD790" s="6"/>
      <c r="AE790" s="6"/>
      <c r="AF790" s="6"/>
      <c r="AG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7"/>
      <c r="S791" s="6"/>
      <c r="T791" s="6"/>
      <c r="U791" s="6"/>
      <c r="V791" s="6"/>
      <c r="W791" s="7"/>
      <c r="X791" s="6"/>
      <c r="Y791" s="6"/>
      <c r="Z791" s="6"/>
      <c r="AA791" s="6"/>
      <c r="AB791" s="6"/>
      <c r="AC791" s="6"/>
      <c r="AD791" s="6"/>
      <c r="AE791" s="6"/>
      <c r="AF791" s="6"/>
      <c r="AG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7"/>
      <c r="S792" s="6"/>
      <c r="T792" s="6"/>
      <c r="U792" s="6"/>
      <c r="V792" s="6"/>
      <c r="W792" s="7"/>
      <c r="X792" s="6"/>
      <c r="Y792" s="6"/>
      <c r="Z792" s="6"/>
      <c r="AA792" s="6"/>
      <c r="AB792" s="6"/>
      <c r="AC792" s="6"/>
      <c r="AD792" s="6"/>
      <c r="AE792" s="6"/>
      <c r="AF792" s="6"/>
      <c r="AG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7"/>
      <c r="S793" s="6"/>
      <c r="T793" s="6"/>
      <c r="U793" s="6"/>
      <c r="V793" s="6"/>
      <c r="W793" s="7"/>
      <c r="X793" s="6"/>
      <c r="Y793" s="6"/>
      <c r="Z793" s="6"/>
      <c r="AA793" s="6"/>
      <c r="AB793" s="6"/>
      <c r="AC793" s="6"/>
      <c r="AD793" s="6"/>
      <c r="AE793" s="6"/>
      <c r="AF793" s="6"/>
      <c r="AG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7"/>
      <c r="S794" s="6"/>
      <c r="T794" s="6"/>
      <c r="U794" s="6"/>
      <c r="V794" s="6"/>
      <c r="W794" s="7"/>
      <c r="X794" s="6"/>
      <c r="Y794" s="6"/>
      <c r="Z794" s="6"/>
      <c r="AA794" s="6"/>
      <c r="AB794" s="6"/>
      <c r="AC794" s="6"/>
      <c r="AD794" s="6"/>
      <c r="AE794" s="6"/>
      <c r="AF794" s="6"/>
      <c r="AG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7"/>
      <c r="S795" s="6"/>
      <c r="T795" s="6"/>
      <c r="U795" s="6"/>
      <c r="V795" s="6"/>
      <c r="W795" s="7"/>
      <c r="X795" s="6"/>
      <c r="Y795" s="6"/>
      <c r="Z795" s="6"/>
      <c r="AA795" s="6"/>
      <c r="AB795" s="6"/>
      <c r="AC795" s="6"/>
      <c r="AD795" s="6"/>
      <c r="AE795" s="6"/>
      <c r="AF795" s="6"/>
      <c r="AG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7"/>
      <c r="S796" s="6"/>
      <c r="T796" s="6"/>
      <c r="U796" s="6"/>
      <c r="V796" s="6"/>
      <c r="W796" s="7"/>
      <c r="X796" s="6"/>
      <c r="Y796" s="6"/>
      <c r="Z796" s="6"/>
      <c r="AA796" s="6"/>
      <c r="AB796" s="6"/>
      <c r="AC796" s="6"/>
      <c r="AD796" s="6"/>
      <c r="AE796" s="6"/>
      <c r="AF796" s="6"/>
      <c r="AG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7"/>
      <c r="S797" s="6"/>
      <c r="T797" s="6"/>
      <c r="U797" s="6"/>
      <c r="V797" s="6"/>
      <c r="W797" s="7"/>
      <c r="X797" s="6"/>
      <c r="Y797" s="6"/>
      <c r="Z797" s="6"/>
      <c r="AA797" s="6"/>
      <c r="AB797" s="6"/>
      <c r="AC797" s="6"/>
      <c r="AD797" s="6"/>
      <c r="AE797" s="6"/>
      <c r="AF797" s="6"/>
      <c r="AG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7"/>
      <c r="S798" s="6"/>
      <c r="T798" s="6"/>
      <c r="U798" s="6"/>
      <c r="V798" s="6"/>
      <c r="W798" s="7"/>
      <c r="X798" s="6"/>
      <c r="Y798" s="6"/>
      <c r="Z798" s="6"/>
      <c r="AA798" s="6"/>
      <c r="AB798" s="6"/>
      <c r="AC798" s="6"/>
      <c r="AD798" s="6"/>
      <c r="AE798" s="6"/>
      <c r="AF798" s="6"/>
      <c r="AG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7"/>
      <c r="S799" s="6"/>
      <c r="T799" s="6"/>
      <c r="U799" s="6"/>
      <c r="V799" s="6"/>
      <c r="W799" s="7"/>
      <c r="X799" s="6"/>
      <c r="Y799" s="6"/>
      <c r="Z799" s="6"/>
      <c r="AA799" s="6"/>
      <c r="AB799" s="6"/>
      <c r="AC799" s="6"/>
      <c r="AD799" s="6"/>
      <c r="AE799" s="6"/>
      <c r="AF799" s="6"/>
      <c r="AG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7"/>
      <c r="S800" s="6"/>
      <c r="T800" s="6"/>
      <c r="U800" s="6"/>
      <c r="V800" s="6"/>
      <c r="W800" s="7"/>
      <c r="X800" s="6"/>
      <c r="Y800" s="6"/>
      <c r="Z800" s="6"/>
      <c r="AA800" s="6"/>
      <c r="AB800" s="6"/>
      <c r="AC800" s="6"/>
      <c r="AD800" s="6"/>
      <c r="AE800" s="6"/>
      <c r="AF800" s="6"/>
      <c r="AG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7"/>
      <c r="S801" s="6"/>
      <c r="T801" s="6"/>
      <c r="U801" s="6"/>
      <c r="V801" s="6"/>
      <c r="W801" s="7"/>
      <c r="X801" s="6"/>
      <c r="Y801" s="6"/>
      <c r="Z801" s="6"/>
      <c r="AA801" s="6"/>
      <c r="AB801" s="6"/>
      <c r="AC801" s="6"/>
      <c r="AD801" s="6"/>
      <c r="AE801" s="6"/>
      <c r="AF801" s="6"/>
      <c r="AG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7"/>
      <c r="S802" s="6"/>
      <c r="T802" s="6"/>
      <c r="U802" s="6"/>
      <c r="V802" s="6"/>
      <c r="W802" s="7"/>
      <c r="X802" s="6"/>
      <c r="Y802" s="6"/>
      <c r="Z802" s="6"/>
      <c r="AA802" s="6"/>
      <c r="AB802" s="6"/>
      <c r="AC802" s="6"/>
      <c r="AD802" s="6"/>
      <c r="AE802" s="6"/>
      <c r="AF802" s="6"/>
      <c r="AG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7"/>
      <c r="S803" s="6"/>
      <c r="T803" s="6"/>
      <c r="U803" s="6"/>
      <c r="V803" s="6"/>
      <c r="W803" s="7"/>
      <c r="X803" s="6"/>
      <c r="Y803" s="6"/>
      <c r="Z803" s="6"/>
      <c r="AA803" s="6"/>
      <c r="AB803" s="6"/>
      <c r="AC803" s="6"/>
      <c r="AD803" s="6"/>
      <c r="AE803" s="6"/>
      <c r="AF803" s="6"/>
      <c r="AG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7"/>
      <c r="S804" s="6"/>
      <c r="T804" s="6"/>
      <c r="U804" s="6"/>
      <c r="V804" s="6"/>
      <c r="W804" s="7"/>
      <c r="X804" s="6"/>
      <c r="Y804" s="6"/>
      <c r="Z804" s="6"/>
      <c r="AA804" s="6"/>
      <c r="AB804" s="6"/>
      <c r="AC804" s="6"/>
      <c r="AD804" s="6"/>
      <c r="AE804" s="6"/>
      <c r="AF804" s="6"/>
      <c r="AG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7"/>
      <c r="S805" s="6"/>
      <c r="T805" s="6"/>
      <c r="U805" s="6"/>
      <c r="V805" s="6"/>
      <c r="W805" s="7"/>
      <c r="X805" s="6"/>
      <c r="Y805" s="6"/>
      <c r="Z805" s="6"/>
      <c r="AA805" s="6"/>
      <c r="AB805" s="6"/>
      <c r="AC805" s="6"/>
      <c r="AD805" s="6"/>
      <c r="AE805" s="6"/>
      <c r="AF805" s="6"/>
      <c r="AG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7"/>
      <c r="S806" s="6"/>
      <c r="T806" s="6"/>
      <c r="U806" s="6"/>
      <c r="V806" s="6"/>
      <c r="W806" s="7"/>
      <c r="X806" s="6"/>
      <c r="Y806" s="6"/>
      <c r="Z806" s="6"/>
      <c r="AA806" s="6"/>
      <c r="AB806" s="6"/>
      <c r="AC806" s="6"/>
      <c r="AD806" s="6"/>
      <c r="AE806" s="6"/>
      <c r="AF806" s="6"/>
      <c r="AG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7"/>
      <c r="S807" s="6"/>
      <c r="T807" s="6"/>
      <c r="U807" s="6"/>
      <c r="V807" s="6"/>
      <c r="W807" s="7"/>
      <c r="X807" s="6"/>
      <c r="Y807" s="6"/>
      <c r="Z807" s="6"/>
      <c r="AA807" s="6"/>
      <c r="AB807" s="6"/>
      <c r="AC807" s="6"/>
      <c r="AD807" s="6"/>
      <c r="AE807" s="6"/>
      <c r="AF807" s="6"/>
      <c r="AG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7"/>
      <c r="S808" s="6"/>
      <c r="T808" s="6"/>
      <c r="U808" s="6"/>
      <c r="V808" s="6"/>
      <c r="W808" s="7"/>
      <c r="X808" s="6"/>
      <c r="Y808" s="6"/>
      <c r="Z808" s="6"/>
      <c r="AA808" s="6"/>
      <c r="AB808" s="6"/>
      <c r="AC808" s="6"/>
      <c r="AD808" s="6"/>
      <c r="AE808" s="6"/>
      <c r="AF808" s="6"/>
      <c r="AG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7"/>
      <c r="S809" s="6"/>
      <c r="T809" s="6"/>
      <c r="U809" s="6"/>
      <c r="V809" s="6"/>
      <c r="W809" s="7"/>
      <c r="X809" s="6"/>
      <c r="Y809" s="6"/>
      <c r="Z809" s="6"/>
      <c r="AA809" s="6"/>
      <c r="AB809" s="6"/>
      <c r="AC809" s="6"/>
      <c r="AD809" s="6"/>
      <c r="AE809" s="6"/>
      <c r="AF809" s="6"/>
      <c r="AG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7"/>
      <c r="S810" s="6"/>
      <c r="T810" s="6"/>
      <c r="U810" s="6"/>
      <c r="V810" s="6"/>
      <c r="W810" s="7"/>
      <c r="X810" s="6"/>
      <c r="Y810" s="6"/>
      <c r="Z810" s="6"/>
      <c r="AA810" s="6"/>
      <c r="AB810" s="6"/>
      <c r="AC810" s="6"/>
      <c r="AD810" s="6"/>
      <c r="AE810" s="6"/>
      <c r="AF810" s="6"/>
      <c r="AG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7"/>
      <c r="S811" s="6"/>
      <c r="T811" s="6"/>
      <c r="U811" s="6"/>
      <c r="V811" s="6"/>
      <c r="W811" s="7"/>
      <c r="X811" s="6"/>
      <c r="Y811" s="6"/>
      <c r="Z811" s="6"/>
      <c r="AA811" s="6"/>
      <c r="AB811" s="6"/>
      <c r="AC811" s="6"/>
      <c r="AD811" s="6"/>
      <c r="AE811" s="6"/>
      <c r="AF811" s="6"/>
      <c r="AG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7"/>
      <c r="S812" s="6"/>
      <c r="T812" s="6"/>
      <c r="U812" s="6"/>
      <c r="V812" s="6"/>
      <c r="W812" s="7"/>
      <c r="X812" s="6"/>
      <c r="Y812" s="6"/>
      <c r="Z812" s="6"/>
      <c r="AA812" s="6"/>
      <c r="AB812" s="6"/>
      <c r="AC812" s="6"/>
      <c r="AD812" s="6"/>
      <c r="AE812" s="6"/>
      <c r="AF812" s="6"/>
      <c r="AG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7"/>
      <c r="S813" s="6"/>
      <c r="T813" s="6"/>
      <c r="U813" s="6"/>
      <c r="V813" s="6"/>
      <c r="W813" s="7"/>
      <c r="X813" s="6"/>
      <c r="Y813" s="6"/>
      <c r="Z813" s="6"/>
      <c r="AA813" s="6"/>
      <c r="AB813" s="6"/>
      <c r="AC813" s="6"/>
      <c r="AD813" s="6"/>
      <c r="AE813" s="6"/>
      <c r="AF813" s="6"/>
      <c r="AG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7"/>
      <c r="S814" s="6"/>
      <c r="T814" s="6"/>
      <c r="U814" s="6"/>
      <c r="V814" s="6"/>
      <c r="W814" s="7"/>
      <c r="X814" s="6"/>
      <c r="Y814" s="6"/>
      <c r="Z814" s="6"/>
      <c r="AA814" s="6"/>
      <c r="AB814" s="6"/>
      <c r="AC814" s="6"/>
      <c r="AD814" s="6"/>
      <c r="AE814" s="6"/>
      <c r="AF814" s="6"/>
      <c r="AG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7"/>
      <c r="S815" s="6"/>
      <c r="T815" s="6"/>
      <c r="U815" s="6"/>
      <c r="V815" s="6"/>
      <c r="W815" s="7"/>
      <c r="X815" s="6"/>
      <c r="Y815" s="6"/>
      <c r="Z815" s="6"/>
      <c r="AA815" s="6"/>
      <c r="AB815" s="6"/>
      <c r="AC815" s="6"/>
      <c r="AD815" s="6"/>
      <c r="AE815" s="6"/>
      <c r="AF815" s="6"/>
      <c r="AG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7"/>
      <c r="S816" s="6"/>
      <c r="T816" s="6"/>
      <c r="U816" s="6"/>
      <c r="V816" s="6"/>
      <c r="W816" s="7"/>
      <c r="X816" s="6"/>
      <c r="Y816" s="6"/>
      <c r="Z816" s="6"/>
      <c r="AA816" s="6"/>
      <c r="AB816" s="6"/>
      <c r="AC816" s="6"/>
      <c r="AD816" s="6"/>
      <c r="AE816" s="6"/>
      <c r="AF816" s="6"/>
      <c r="AG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7"/>
      <c r="S817" s="6"/>
      <c r="T817" s="6"/>
      <c r="U817" s="6"/>
      <c r="V817" s="6"/>
      <c r="W817" s="7"/>
      <c r="X817" s="6"/>
      <c r="Y817" s="6"/>
      <c r="Z817" s="6"/>
      <c r="AA817" s="6"/>
      <c r="AB817" s="6"/>
      <c r="AC817" s="6"/>
      <c r="AD817" s="6"/>
      <c r="AE817" s="6"/>
      <c r="AF817" s="6"/>
      <c r="AG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7"/>
      <c r="S818" s="6"/>
      <c r="T818" s="6"/>
      <c r="U818" s="6"/>
      <c r="V818" s="6"/>
      <c r="W818" s="7"/>
      <c r="X818" s="6"/>
      <c r="Y818" s="6"/>
      <c r="Z818" s="6"/>
      <c r="AA818" s="6"/>
      <c r="AB818" s="6"/>
      <c r="AC818" s="6"/>
      <c r="AD818" s="6"/>
      <c r="AE818" s="6"/>
      <c r="AF818" s="6"/>
      <c r="AG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7"/>
      <c r="S819" s="6"/>
      <c r="T819" s="6"/>
      <c r="U819" s="6"/>
      <c r="V819" s="6"/>
      <c r="W819" s="7"/>
      <c r="X819" s="6"/>
      <c r="Y819" s="6"/>
      <c r="Z819" s="6"/>
      <c r="AA819" s="6"/>
      <c r="AB819" s="6"/>
      <c r="AC819" s="6"/>
      <c r="AD819" s="6"/>
      <c r="AE819" s="6"/>
      <c r="AF819" s="6"/>
      <c r="AG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7"/>
      <c r="S820" s="6"/>
      <c r="T820" s="6"/>
      <c r="U820" s="6"/>
      <c r="V820" s="6"/>
      <c r="W820" s="7"/>
      <c r="X820" s="6"/>
      <c r="Y820" s="6"/>
      <c r="Z820" s="6"/>
      <c r="AA820" s="6"/>
      <c r="AB820" s="6"/>
      <c r="AC820" s="6"/>
      <c r="AD820" s="6"/>
      <c r="AE820" s="6"/>
      <c r="AF820" s="6"/>
      <c r="AG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7"/>
      <c r="S821" s="6"/>
      <c r="T821" s="6"/>
      <c r="U821" s="6"/>
      <c r="V821" s="6"/>
      <c r="W821" s="7"/>
      <c r="X821" s="6"/>
      <c r="Y821" s="6"/>
      <c r="Z821" s="6"/>
      <c r="AA821" s="6"/>
      <c r="AB821" s="6"/>
      <c r="AC821" s="6"/>
      <c r="AD821" s="6"/>
      <c r="AE821" s="6"/>
      <c r="AF821" s="6"/>
      <c r="AG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7"/>
      <c r="S822" s="6"/>
      <c r="T822" s="6"/>
      <c r="U822" s="6"/>
      <c r="V822" s="6"/>
      <c r="W822" s="7"/>
      <c r="X822" s="6"/>
      <c r="Y822" s="6"/>
      <c r="Z822" s="6"/>
      <c r="AA822" s="6"/>
      <c r="AB822" s="6"/>
      <c r="AC822" s="6"/>
      <c r="AD822" s="6"/>
      <c r="AE822" s="6"/>
      <c r="AF822" s="6"/>
      <c r="AG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7"/>
      <c r="S823" s="6"/>
      <c r="T823" s="6"/>
      <c r="U823" s="6"/>
      <c r="V823" s="6"/>
      <c r="W823" s="7"/>
      <c r="X823" s="6"/>
      <c r="Y823" s="6"/>
      <c r="Z823" s="6"/>
      <c r="AA823" s="6"/>
      <c r="AB823" s="6"/>
      <c r="AC823" s="6"/>
      <c r="AD823" s="6"/>
      <c r="AE823" s="6"/>
      <c r="AF823" s="6"/>
      <c r="AG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7"/>
      <c r="S824" s="6"/>
      <c r="T824" s="6"/>
      <c r="U824" s="6"/>
      <c r="V824" s="6"/>
      <c r="W824" s="7"/>
      <c r="X824" s="6"/>
      <c r="Y824" s="6"/>
      <c r="Z824" s="6"/>
      <c r="AA824" s="6"/>
      <c r="AB824" s="6"/>
      <c r="AC824" s="6"/>
      <c r="AD824" s="6"/>
      <c r="AE824" s="6"/>
      <c r="AF824" s="6"/>
      <c r="AG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7"/>
      <c r="S825" s="6"/>
      <c r="T825" s="6"/>
      <c r="U825" s="6"/>
      <c r="V825" s="6"/>
      <c r="W825" s="7"/>
      <c r="X825" s="6"/>
      <c r="Y825" s="6"/>
      <c r="Z825" s="6"/>
      <c r="AA825" s="6"/>
      <c r="AB825" s="6"/>
      <c r="AC825" s="6"/>
      <c r="AD825" s="6"/>
      <c r="AE825" s="6"/>
      <c r="AF825" s="6"/>
      <c r="AG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7"/>
      <c r="S826" s="6"/>
      <c r="T826" s="6"/>
      <c r="U826" s="6"/>
      <c r="V826" s="6"/>
      <c r="W826" s="7"/>
      <c r="X826" s="6"/>
      <c r="Y826" s="6"/>
      <c r="Z826" s="6"/>
      <c r="AA826" s="6"/>
      <c r="AB826" s="6"/>
      <c r="AC826" s="6"/>
      <c r="AD826" s="6"/>
      <c r="AE826" s="6"/>
      <c r="AF826" s="6"/>
      <c r="AG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7"/>
      <c r="S827" s="6"/>
      <c r="T827" s="6"/>
      <c r="U827" s="6"/>
      <c r="V827" s="6"/>
      <c r="W827" s="7"/>
      <c r="X827" s="6"/>
      <c r="Y827" s="6"/>
      <c r="Z827" s="6"/>
      <c r="AA827" s="6"/>
      <c r="AB827" s="6"/>
      <c r="AC827" s="6"/>
      <c r="AD827" s="6"/>
      <c r="AE827" s="6"/>
      <c r="AF827" s="6"/>
      <c r="AG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7"/>
      <c r="S828" s="6"/>
      <c r="T828" s="6"/>
      <c r="U828" s="6"/>
      <c r="V828" s="6"/>
      <c r="W828" s="7"/>
      <c r="X828" s="6"/>
      <c r="Y828" s="6"/>
      <c r="Z828" s="6"/>
      <c r="AA828" s="6"/>
      <c r="AB828" s="6"/>
      <c r="AC828" s="6"/>
      <c r="AD828" s="6"/>
      <c r="AE828" s="6"/>
      <c r="AF828" s="6"/>
      <c r="AG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7"/>
      <c r="S829" s="6"/>
      <c r="T829" s="6"/>
      <c r="U829" s="6"/>
      <c r="V829" s="6"/>
      <c r="W829" s="7"/>
      <c r="X829" s="6"/>
      <c r="Y829" s="6"/>
      <c r="Z829" s="6"/>
      <c r="AA829" s="6"/>
      <c r="AB829" s="6"/>
      <c r="AC829" s="6"/>
      <c r="AD829" s="6"/>
      <c r="AE829" s="6"/>
      <c r="AF829" s="6"/>
      <c r="AG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7"/>
      <c r="S830" s="6"/>
      <c r="T830" s="6"/>
      <c r="U830" s="6"/>
      <c r="V830" s="6"/>
      <c r="W830" s="7"/>
      <c r="X830" s="6"/>
      <c r="Y830" s="6"/>
      <c r="Z830" s="6"/>
      <c r="AA830" s="6"/>
      <c r="AB830" s="6"/>
      <c r="AC830" s="6"/>
      <c r="AD830" s="6"/>
      <c r="AE830" s="6"/>
      <c r="AF830" s="6"/>
      <c r="AG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7"/>
      <c r="S831" s="6"/>
      <c r="T831" s="6"/>
      <c r="U831" s="6"/>
      <c r="V831" s="6"/>
      <c r="W831" s="7"/>
      <c r="X831" s="6"/>
      <c r="Y831" s="6"/>
      <c r="Z831" s="6"/>
      <c r="AA831" s="6"/>
      <c r="AB831" s="6"/>
      <c r="AC831" s="6"/>
      <c r="AD831" s="6"/>
      <c r="AE831" s="6"/>
      <c r="AF831" s="6"/>
      <c r="AG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7"/>
      <c r="S832" s="6"/>
      <c r="T832" s="6"/>
      <c r="U832" s="6"/>
      <c r="V832" s="6"/>
      <c r="W832" s="7"/>
      <c r="X832" s="6"/>
      <c r="Y832" s="6"/>
      <c r="Z832" s="6"/>
      <c r="AA832" s="6"/>
      <c r="AB832" s="6"/>
      <c r="AC832" s="6"/>
      <c r="AD832" s="6"/>
      <c r="AE832" s="6"/>
      <c r="AF832" s="6"/>
      <c r="AG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7"/>
      <c r="S833" s="6"/>
      <c r="T833" s="6"/>
      <c r="U833" s="6"/>
      <c r="V833" s="6"/>
      <c r="W833" s="7"/>
      <c r="X833" s="6"/>
      <c r="Y833" s="6"/>
      <c r="Z833" s="6"/>
      <c r="AA833" s="6"/>
      <c r="AB833" s="6"/>
      <c r="AC833" s="6"/>
      <c r="AD833" s="6"/>
      <c r="AE833" s="6"/>
      <c r="AF833" s="6"/>
      <c r="AG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7"/>
      <c r="S834" s="6"/>
      <c r="T834" s="6"/>
      <c r="U834" s="6"/>
      <c r="V834" s="6"/>
      <c r="W834" s="7"/>
      <c r="X834" s="6"/>
      <c r="Y834" s="6"/>
      <c r="Z834" s="6"/>
      <c r="AA834" s="6"/>
      <c r="AB834" s="6"/>
      <c r="AC834" s="6"/>
      <c r="AD834" s="6"/>
      <c r="AE834" s="6"/>
      <c r="AF834" s="6"/>
      <c r="AG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7"/>
      <c r="S835" s="6"/>
      <c r="T835" s="6"/>
      <c r="U835" s="6"/>
      <c r="V835" s="6"/>
      <c r="W835" s="7"/>
      <c r="X835" s="6"/>
      <c r="Y835" s="6"/>
      <c r="Z835" s="6"/>
      <c r="AA835" s="6"/>
      <c r="AB835" s="6"/>
      <c r="AC835" s="6"/>
      <c r="AD835" s="6"/>
      <c r="AE835" s="6"/>
      <c r="AF835" s="6"/>
      <c r="AG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7"/>
      <c r="S836" s="6"/>
      <c r="T836" s="6"/>
      <c r="U836" s="6"/>
      <c r="V836" s="6"/>
      <c r="W836" s="7"/>
      <c r="X836" s="6"/>
      <c r="Y836" s="6"/>
      <c r="Z836" s="6"/>
      <c r="AA836" s="6"/>
      <c r="AB836" s="6"/>
      <c r="AC836" s="6"/>
      <c r="AD836" s="6"/>
      <c r="AE836" s="6"/>
      <c r="AF836" s="6"/>
      <c r="AG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7"/>
      <c r="S837" s="6"/>
      <c r="T837" s="6"/>
      <c r="U837" s="6"/>
      <c r="V837" s="6"/>
      <c r="W837" s="7"/>
      <c r="X837" s="6"/>
      <c r="Y837" s="6"/>
      <c r="Z837" s="6"/>
      <c r="AA837" s="6"/>
      <c r="AB837" s="6"/>
      <c r="AC837" s="6"/>
      <c r="AD837" s="6"/>
      <c r="AE837" s="6"/>
      <c r="AF837" s="6"/>
      <c r="AG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7"/>
      <c r="S838" s="6"/>
      <c r="T838" s="6"/>
      <c r="U838" s="6"/>
      <c r="V838" s="6"/>
      <c r="W838" s="7"/>
      <c r="X838" s="6"/>
      <c r="Y838" s="6"/>
      <c r="Z838" s="6"/>
      <c r="AA838" s="6"/>
      <c r="AB838" s="6"/>
      <c r="AC838" s="6"/>
      <c r="AD838" s="6"/>
      <c r="AE838" s="6"/>
      <c r="AF838" s="6"/>
      <c r="AG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7"/>
      <c r="S839" s="6"/>
      <c r="T839" s="6"/>
      <c r="U839" s="6"/>
      <c r="V839" s="6"/>
      <c r="W839" s="7"/>
      <c r="X839" s="6"/>
      <c r="Y839" s="6"/>
      <c r="Z839" s="6"/>
      <c r="AA839" s="6"/>
      <c r="AB839" s="6"/>
      <c r="AC839" s="6"/>
      <c r="AD839" s="6"/>
      <c r="AE839" s="6"/>
      <c r="AF839" s="6"/>
      <c r="AG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/>
      <c r="S840" s="6"/>
      <c r="T840" s="6"/>
      <c r="U840" s="6"/>
      <c r="V840" s="6"/>
      <c r="W840" s="7"/>
      <c r="X840" s="6"/>
      <c r="Y840" s="6"/>
      <c r="Z840" s="6"/>
      <c r="AA840" s="6"/>
      <c r="AB840" s="6"/>
      <c r="AC840" s="6"/>
      <c r="AD840" s="6"/>
      <c r="AE840" s="6"/>
      <c r="AF840" s="6"/>
      <c r="AG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7"/>
      <c r="S841" s="6"/>
      <c r="T841" s="6"/>
      <c r="U841" s="6"/>
      <c r="V841" s="6"/>
      <c r="W841" s="7"/>
      <c r="X841" s="6"/>
      <c r="Y841" s="6"/>
      <c r="Z841" s="6"/>
      <c r="AA841" s="6"/>
      <c r="AB841" s="6"/>
      <c r="AC841" s="6"/>
      <c r="AD841" s="6"/>
      <c r="AE841" s="6"/>
      <c r="AF841" s="6"/>
      <c r="AG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7"/>
      <c r="S842" s="6"/>
      <c r="T842" s="6"/>
      <c r="U842" s="6"/>
      <c r="V842" s="6"/>
      <c r="W842" s="7"/>
      <c r="X842" s="6"/>
      <c r="Y842" s="6"/>
      <c r="Z842" s="6"/>
      <c r="AA842" s="6"/>
      <c r="AB842" s="6"/>
      <c r="AC842" s="6"/>
      <c r="AD842" s="6"/>
      <c r="AE842" s="6"/>
      <c r="AF842" s="6"/>
      <c r="AG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7"/>
      <c r="S843" s="6"/>
      <c r="T843" s="6"/>
      <c r="U843" s="6"/>
      <c r="V843" s="6"/>
      <c r="W843" s="7"/>
      <c r="X843" s="6"/>
      <c r="Y843" s="6"/>
      <c r="Z843" s="6"/>
      <c r="AA843" s="6"/>
      <c r="AB843" s="6"/>
      <c r="AC843" s="6"/>
      <c r="AD843" s="6"/>
      <c r="AE843" s="6"/>
      <c r="AF843" s="6"/>
      <c r="AG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7"/>
      <c r="S844" s="6"/>
      <c r="T844" s="6"/>
      <c r="U844" s="6"/>
      <c r="V844" s="6"/>
      <c r="W844" s="7"/>
      <c r="X844" s="6"/>
      <c r="Y844" s="6"/>
      <c r="Z844" s="6"/>
      <c r="AA844" s="6"/>
      <c r="AB844" s="6"/>
      <c r="AC844" s="6"/>
      <c r="AD844" s="6"/>
      <c r="AE844" s="6"/>
      <c r="AF844" s="6"/>
      <c r="AG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7"/>
      <c r="S845" s="6"/>
      <c r="T845" s="6"/>
      <c r="U845" s="6"/>
      <c r="V845" s="6"/>
      <c r="W845" s="7"/>
      <c r="X845" s="6"/>
      <c r="Y845" s="6"/>
      <c r="Z845" s="6"/>
      <c r="AA845" s="6"/>
      <c r="AB845" s="6"/>
      <c r="AC845" s="6"/>
      <c r="AD845" s="6"/>
      <c r="AE845" s="6"/>
      <c r="AF845" s="6"/>
      <c r="AG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7"/>
      <c r="S846" s="6"/>
      <c r="T846" s="6"/>
      <c r="U846" s="6"/>
      <c r="V846" s="6"/>
      <c r="W846" s="7"/>
      <c r="X846" s="6"/>
      <c r="Y846" s="6"/>
      <c r="Z846" s="6"/>
      <c r="AA846" s="6"/>
      <c r="AB846" s="6"/>
      <c r="AC846" s="6"/>
      <c r="AD846" s="6"/>
      <c r="AE846" s="6"/>
      <c r="AF846" s="6"/>
      <c r="AG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7"/>
      <c r="S847" s="6"/>
      <c r="T847" s="6"/>
      <c r="U847" s="6"/>
      <c r="V847" s="6"/>
      <c r="W847" s="7"/>
      <c r="X847" s="6"/>
      <c r="Y847" s="6"/>
      <c r="Z847" s="6"/>
      <c r="AA847" s="6"/>
      <c r="AB847" s="6"/>
      <c r="AC847" s="6"/>
      <c r="AD847" s="6"/>
      <c r="AE847" s="6"/>
      <c r="AF847" s="6"/>
      <c r="AG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7"/>
      <c r="S848" s="6"/>
      <c r="T848" s="6"/>
      <c r="U848" s="6"/>
      <c r="V848" s="6"/>
      <c r="W848" s="7"/>
      <c r="X848" s="6"/>
      <c r="Y848" s="6"/>
      <c r="Z848" s="6"/>
      <c r="AA848" s="6"/>
      <c r="AB848" s="6"/>
      <c r="AC848" s="6"/>
      <c r="AD848" s="6"/>
      <c r="AE848" s="6"/>
      <c r="AF848" s="6"/>
      <c r="AG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7"/>
      <c r="S849" s="6"/>
      <c r="T849" s="6"/>
      <c r="U849" s="6"/>
      <c r="V849" s="6"/>
      <c r="W849" s="7"/>
      <c r="X849" s="6"/>
      <c r="Y849" s="6"/>
      <c r="Z849" s="6"/>
      <c r="AA849" s="6"/>
      <c r="AB849" s="6"/>
      <c r="AC849" s="6"/>
      <c r="AD849" s="6"/>
      <c r="AE849" s="6"/>
      <c r="AF849" s="6"/>
      <c r="AG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7"/>
      <c r="S850" s="6"/>
      <c r="T850" s="6"/>
      <c r="U850" s="6"/>
      <c r="V850" s="6"/>
      <c r="W850" s="7"/>
      <c r="X850" s="6"/>
      <c r="Y850" s="6"/>
      <c r="Z850" s="6"/>
      <c r="AA850" s="6"/>
      <c r="AB850" s="6"/>
      <c r="AC850" s="6"/>
      <c r="AD850" s="6"/>
      <c r="AE850" s="6"/>
      <c r="AF850" s="6"/>
      <c r="AG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7"/>
      <c r="S851" s="6"/>
      <c r="T851" s="6"/>
      <c r="U851" s="6"/>
      <c r="V851" s="6"/>
      <c r="W851" s="7"/>
      <c r="X851" s="6"/>
      <c r="Y851" s="6"/>
      <c r="Z851" s="6"/>
      <c r="AA851" s="6"/>
      <c r="AB851" s="6"/>
      <c r="AC851" s="6"/>
      <c r="AD851" s="6"/>
      <c r="AE851" s="6"/>
      <c r="AF851" s="6"/>
      <c r="AG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7"/>
      <c r="S852" s="6"/>
      <c r="T852" s="6"/>
      <c r="U852" s="6"/>
      <c r="V852" s="6"/>
      <c r="W852" s="7"/>
      <c r="X852" s="6"/>
      <c r="Y852" s="6"/>
      <c r="Z852" s="6"/>
      <c r="AA852" s="6"/>
      <c r="AB852" s="6"/>
      <c r="AC852" s="6"/>
      <c r="AD852" s="6"/>
      <c r="AE852" s="6"/>
      <c r="AF852" s="6"/>
      <c r="AG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7"/>
      <c r="S853" s="6"/>
      <c r="T853" s="6"/>
      <c r="U853" s="6"/>
      <c r="V853" s="6"/>
      <c r="W853" s="7"/>
      <c r="X853" s="6"/>
      <c r="Y853" s="6"/>
      <c r="Z853" s="6"/>
      <c r="AA853" s="6"/>
      <c r="AB853" s="6"/>
      <c r="AC853" s="6"/>
      <c r="AD853" s="6"/>
      <c r="AE853" s="6"/>
      <c r="AF853" s="6"/>
      <c r="AG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7"/>
      <c r="S854" s="6"/>
      <c r="T854" s="6"/>
      <c r="U854" s="6"/>
      <c r="V854" s="6"/>
      <c r="W854" s="7"/>
      <c r="X854" s="6"/>
      <c r="Y854" s="6"/>
      <c r="Z854" s="6"/>
      <c r="AA854" s="6"/>
      <c r="AB854" s="6"/>
      <c r="AC854" s="6"/>
      <c r="AD854" s="6"/>
      <c r="AE854" s="6"/>
      <c r="AF854" s="6"/>
      <c r="AG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7"/>
      <c r="S855" s="6"/>
      <c r="T855" s="6"/>
      <c r="U855" s="6"/>
      <c r="V855" s="6"/>
      <c r="W855" s="7"/>
      <c r="X855" s="6"/>
      <c r="Y855" s="6"/>
      <c r="Z855" s="6"/>
      <c r="AA855" s="6"/>
      <c r="AB855" s="6"/>
      <c r="AC855" s="6"/>
      <c r="AD855" s="6"/>
      <c r="AE855" s="6"/>
      <c r="AF855" s="6"/>
      <c r="AG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7"/>
      <c r="S856" s="6"/>
      <c r="T856" s="6"/>
      <c r="U856" s="6"/>
      <c r="V856" s="6"/>
      <c r="W856" s="7"/>
      <c r="X856" s="6"/>
      <c r="Y856" s="6"/>
      <c r="Z856" s="6"/>
      <c r="AA856" s="6"/>
      <c r="AB856" s="6"/>
      <c r="AC856" s="6"/>
      <c r="AD856" s="6"/>
      <c r="AE856" s="6"/>
      <c r="AF856" s="6"/>
      <c r="AG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7"/>
      <c r="S857" s="6"/>
      <c r="T857" s="6"/>
      <c r="U857" s="6"/>
      <c r="V857" s="6"/>
      <c r="W857" s="7"/>
      <c r="X857" s="6"/>
      <c r="Y857" s="6"/>
      <c r="Z857" s="6"/>
      <c r="AA857" s="6"/>
      <c r="AB857" s="6"/>
      <c r="AC857" s="6"/>
      <c r="AD857" s="6"/>
      <c r="AE857" s="6"/>
      <c r="AF857" s="6"/>
      <c r="AG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7"/>
      <c r="S858" s="6"/>
      <c r="T858" s="6"/>
      <c r="U858" s="6"/>
      <c r="V858" s="6"/>
      <c r="W858" s="7"/>
      <c r="X858" s="6"/>
      <c r="Y858" s="6"/>
      <c r="Z858" s="6"/>
      <c r="AA858" s="6"/>
      <c r="AB858" s="6"/>
      <c r="AC858" s="6"/>
      <c r="AD858" s="6"/>
      <c r="AE858" s="6"/>
      <c r="AF858" s="6"/>
      <c r="AG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7"/>
      <c r="S859" s="6"/>
      <c r="T859" s="6"/>
      <c r="U859" s="6"/>
      <c r="V859" s="6"/>
      <c r="W859" s="7"/>
      <c r="X859" s="6"/>
      <c r="Y859" s="6"/>
      <c r="Z859" s="6"/>
      <c r="AA859" s="6"/>
      <c r="AB859" s="6"/>
      <c r="AC859" s="6"/>
      <c r="AD859" s="6"/>
      <c r="AE859" s="6"/>
      <c r="AF859" s="6"/>
      <c r="AG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7"/>
      <c r="S860" s="6"/>
      <c r="T860" s="6"/>
      <c r="U860" s="6"/>
      <c r="V860" s="6"/>
      <c r="W860" s="7"/>
      <c r="X860" s="6"/>
      <c r="Y860" s="6"/>
      <c r="Z860" s="6"/>
      <c r="AA860" s="6"/>
      <c r="AB860" s="6"/>
      <c r="AC860" s="6"/>
      <c r="AD860" s="6"/>
      <c r="AE860" s="6"/>
      <c r="AF860" s="6"/>
      <c r="AG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7"/>
      <c r="S861" s="6"/>
      <c r="T861" s="6"/>
      <c r="U861" s="6"/>
      <c r="V861" s="6"/>
      <c r="W861" s="7"/>
      <c r="X861" s="6"/>
      <c r="Y861" s="6"/>
      <c r="Z861" s="6"/>
      <c r="AA861" s="6"/>
      <c r="AB861" s="6"/>
      <c r="AC861" s="6"/>
      <c r="AD861" s="6"/>
      <c r="AE861" s="6"/>
      <c r="AF861" s="6"/>
      <c r="AG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7"/>
      <c r="S862" s="6"/>
      <c r="T862" s="6"/>
      <c r="U862" s="6"/>
      <c r="V862" s="6"/>
      <c r="W862" s="7"/>
      <c r="X862" s="6"/>
      <c r="Y862" s="6"/>
      <c r="Z862" s="6"/>
      <c r="AA862" s="6"/>
      <c r="AB862" s="6"/>
      <c r="AC862" s="6"/>
      <c r="AD862" s="6"/>
      <c r="AE862" s="6"/>
      <c r="AF862" s="6"/>
      <c r="AG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7"/>
      <c r="S863" s="6"/>
      <c r="T863" s="6"/>
      <c r="U863" s="6"/>
      <c r="V863" s="6"/>
      <c r="W863" s="7"/>
      <c r="X863" s="6"/>
      <c r="Y863" s="6"/>
      <c r="Z863" s="6"/>
      <c r="AA863" s="6"/>
      <c r="AB863" s="6"/>
      <c r="AC863" s="6"/>
      <c r="AD863" s="6"/>
      <c r="AE863" s="6"/>
      <c r="AF863" s="6"/>
      <c r="AG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7"/>
      <c r="S864" s="6"/>
      <c r="T864" s="6"/>
      <c r="U864" s="6"/>
      <c r="V864" s="6"/>
      <c r="W864" s="7"/>
      <c r="X864" s="6"/>
      <c r="Y864" s="6"/>
      <c r="Z864" s="6"/>
      <c r="AA864" s="6"/>
      <c r="AB864" s="6"/>
      <c r="AC864" s="6"/>
      <c r="AD864" s="6"/>
      <c r="AE864" s="6"/>
      <c r="AF864" s="6"/>
      <c r="AG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7"/>
      <c r="S865" s="6"/>
      <c r="T865" s="6"/>
      <c r="U865" s="6"/>
      <c r="V865" s="6"/>
      <c r="W865" s="7"/>
      <c r="X865" s="6"/>
      <c r="Y865" s="6"/>
      <c r="Z865" s="6"/>
      <c r="AA865" s="6"/>
      <c r="AB865" s="6"/>
      <c r="AC865" s="6"/>
      <c r="AD865" s="6"/>
      <c r="AE865" s="6"/>
      <c r="AF865" s="6"/>
      <c r="AG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/>
      <c r="S866" s="6"/>
      <c r="T866" s="6"/>
      <c r="U866" s="6"/>
      <c r="V866" s="6"/>
      <c r="W866" s="7"/>
      <c r="X866" s="6"/>
      <c r="Y866" s="6"/>
      <c r="Z866" s="6"/>
      <c r="AA866" s="6"/>
      <c r="AB866" s="6"/>
      <c r="AC866" s="6"/>
      <c r="AD866" s="6"/>
      <c r="AE866" s="6"/>
      <c r="AF866" s="6"/>
      <c r="AG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/>
      <c r="S867" s="6"/>
      <c r="T867" s="6"/>
      <c r="U867" s="6"/>
      <c r="V867" s="6"/>
      <c r="W867" s="7"/>
      <c r="X867" s="6"/>
      <c r="Y867" s="6"/>
      <c r="Z867" s="6"/>
      <c r="AA867" s="6"/>
      <c r="AB867" s="6"/>
      <c r="AC867" s="6"/>
      <c r="AD867" s="6"/>
      <c r="AE867" s="6"/>
      <c r="AF867" s="6"/>
      <c r="AG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/>
      <c r="S868" s="6"/>
      <c r="T868" s="6"/>
      <c r="U868" s="6"/>
      <c r="V868" s="6"/>
      <c r="W868" s="7"/>
      <c r="X868" s="6"/>
      <c r="Y868" s="6"/>
      <c r="Z868" s="6"/>
      <c r="AA868" s="6"/>
      <c r="AB868" s="6"/>
      <c r="AC868" s="6"/>
      <c r="AD868" s="6"/>
      <c r="AE868" s="6"/>
      <c r="AF868" s="6"/>
      <c r="AG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/>
      <c r="S869" s="6"/>
      <c r="T869" s="6"/>
      <c r="U869" s="6"/>
      <c r="V869" s="6"/>
      <c r="W869" s="7"/>
      <c r="X869" s="6"/>
      <c r="Y869" s="6"/>
      <c r="Z869" s="6"/>
      <c r="AA869" s="6"/>
      <c r="AB869" s="6"/>
      <c r="AC869" s="6"/>
      <c r="AD869" s="6"/>
      <c r="AE869" s="6"/>
      <c r="AF869" s="6"/>
      <c r="AG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/>
      <c r="S870" s="6"/>
      <c r="T870" s="6"/>
      <c r="U870" s="6"/>
      <c r="V870" s="6"/>
      <c r="W870" s="7"/>
      <c r="X870" s="6"/>
      <c r="Y870" s="6"/>
      <c r="Z870" s="6"/>
      <c r="AA870" s="6"/>
      <c r="AB870" s="6"/>
      <c r="AC870" s="6"/>
      <c r="AD870" s="6"/>
      <c r="AE870" s="6"/>
      <c r="AF870" s="6"/>
      <c r="AG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/>
      <c r="S871" s="6"/>
      <c r="T871" s="6"/>
      <c r="U871" s="6"/>
      <c r="V871" s="6"/>
      <c r="W871" s="7"/>
      <c r="X871" s="6"/>
      <c r="Y871" s="6"/>
      <c r="Z871" s="6"/>
      <c r="AA871" s="6"/>
      <c r="AB871" s="6"/>
      <c r="AC871" s="6"/>
      <c r="AD871" s="6"/>
      <c r="AE871" s="6"/>
      <c r="AF871" s="6"/>
      <c r="AG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/>
      <c r="S872" s="6"/>
      <c r="T872" s="6"/>
      <c r="U872" s="6"/>
      <c r="V872" s="6"/>
      <c r="W872" s="7"/>
      <c r="X872" s="6"/>
      <c r="Y872" s="6"/>
      <c r="Z872" s="6"/>
      <c r="AA872" s="6"/>
      <c r="AB872" s="6"/>
      <c r="AC872" s="6"/>
      <c r="AD872" s="6"/>
      <c r="AE872" s="6"/>
      <c r="AF872" s="6"/>
      <c r="AG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/>
      <c r="S873" s="6"/>
      <c r="T873" s="6"/>
      <c r="U873" s="6"/>
      <c r="V873" s="6"/>
      <c r="W873" s="7"/>
      <c r="X873" s="6"/>
      <c r="Y873" s="6"/>
      <c r="Z873" s="6"/>
      <c r="AA873" s="6"/>
      <c r="AB873" s="6"/>
      <c r="AC873" s="6"/>
      <c r="AD873" s="6"/>
      <c r="AE873" s="6"/>
      <c r="AF873" s="6"/>
      <c r="AG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/>
      <c r="S874" s="6"/>
      <c r="T874" s="6"/>
      <c r="U874" s="6"/>
      <c r="V874" s="6"/>
      <c r="W874" s="7"/>
      <c r="X874" s="6"/>
      <c r="Y874" s="6"/>
      <c r="Z874" s="6"/>
      <c r="AA874" s="6"/>
      <c r="AB874" s="6"/>
      <c r="AC874" s="6"/>
      <c r="AD874" s="6"/>
      <c r="AE874" s="6"/>
      <c r="AF874" s="6"/>
      <c r="AG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/>
      <c r="S875" s="6"/>
      <c r="T875" s="6"/>
      <c r="U875" s="6"/>
      <c r="V875" s="6"/>
      <c r="W875" s="7"/>
      <c r="X875" s="6"/>
      <c r="Y875" s="6"/>
      <c r="Z875" s="6"/>
      <c r="AA875" s="6"/>
      <c r="AB875" s="6"/>
      <c r="AC875" s="6"/>
      <c r="AD875" s="6"/>
      <c r="AE875" s="6"/>
      <c r="AF875" s="6"/>
      <c r="AG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/>
      <c r="S876" s="6"/>
      <c r="T876" s="6"/>
      <c r="U876" s="6"/>
      <c r="V876" s="6"/>
      <c r="W876" s="7"/>
      <c r="X876" s="6"/>
      <c r="Y876" s="6"/>
      <c r="Z876" s="6"/>
      <c r="AA876" s="6"/>
      <c r="AB876" s="6"/>
      <c r="AC876" s="6"/>
      <c r="AD876" s="6"/>
      <c r="AE876" s="6"/>
      <c r="AF876" s="6"/>
      <c r="AG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7"/>
      <c r="S877" s="6"/>
      <c r="T877" s="6"/>
      <c r="U877" s="6"/>
      <c r="V877" s="6"/>
      <c r="W877" s="7"/>
      <c r="X877" s="6"/>
      <c r="Y877" s="6"/>
      <c r="Z877" s="6"/>
      <c r="AA877" s="6"/>
      <c r="AB877" s="6"/>
      <c r="AC877" s="6"/>
      <c r="AD877" s="6"/>
      <c r="AE877" s="6"/>
      <c r="AF877" s="6"/>
      <c r="AG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/>
      <c r="S878" s="6"/>
      <c r="T878" s="6"/>
      <c r="U878" s="6"/>
      <c r="V878" s="6"/>
      <c r="W878" s="7"/>
      <c r="X878" s="6"/>
      <c r="Y878" s="6"/>
      <c r="Z878" s="6"/>
      <c r="AA878" s="6"/>
      <c r="AB878" s="6"/>
      <c r="AC878" s="6"/>
      <c r="AD878" s="6"/>
      <c r="AE878" s="6"/>
      <c r="AF878" s="6"/>
      <c r="AG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7"/>
      <c r="S879" s="6"/>
      <c r="T879" s="6"/>
      <c r="U879" s="6"/>
      <c r="V879" s="6"/>
      <c r="W879" s="7"/>
      <c r="X879" s="6"/>
      <c r="Y879" s="6"/>
      <c r="Z879" s="6"/>
      <c r="AA879" s="6"/>
      <c r="AB879" s="6"/>
      <c r="AC879" s="6"/>
      <c r="AD879" s="6"/>
      <c r="AE879" s="6"/>
      <c r="AF879" s="6"/>
      <c r="AG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7"/>
      <c r="S880" s="6"/>
      <c r="T880" s="6"/>
      <c r="U880" s="6"/>
      <c r="V880" s="6"/>
      <c r="W880" s="7"/>
      <c r="X880" s="6"/>
      <c r="Y880" s="6"/>
      <c r="Z880" s="6"/>
      <c r="AA880" s="6"/>
      <c r="AB880" s="6"/>
      <c r="AC880" s="6"/>
      <c r="AD880" s="6"/>
      <c r="AE880" s="6"/>
      <c r="AF880" s="6"/>
      <c r="AG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7"/>
      <c r="S881" s="6"/>
      <c r="T881" s="6"/>
      <c r="U881" s="6"/>
      <c r="V881" s="6"/>
      <c r="W881" s="7"/>
      <c r="X881" s="6"/>
      <c r="Y881" s="6"/>
      <c r="Z881" s="6"/>
      <c r="AA881" s="6"/>
      <c r="AB881" s="6"/>
      <c r="AC881" s="6"/>
      <c r="AD881" s="6"/>
      <c r="AE881" s="6"/>
      <c r="AF881" s="6"/>
      <c r="AG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7"/>
      <c r="S882" s="6"/>
      <c r="T882" s="6"/>
      <c r="U882" s="6"/>
      <c r="V882" s="6"/>
      <c r="W882" s="7"/>
      <c r="X882" s="6"/>
      <c r="Y882" s="6"/>
      <c r="Z882" s="6"/>
      <c r="AA882" s="6"/>
      <c r="AB882" s="6"/>
      <c r="AC882" s="6"/>
      <c r="AD882" s="6"/>
      <c r="AE882" s="6"/>
      <c r="AF882" s="6"/>
      <c r="AG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7"/>
      <c r="S883" s="6"/>
      <c r="T883" s="6"/>
      <c r="U883" s="6"/>
      <c r="V883" s="6"/>
      <c r="W883" s="7"/>
      <c r="X883" s="6"/>
      <c r="Y883" s="6"/>
      <c r="Z883" s="6"/>
      <c r="AA883" s="6"/>
      <c r="AB883" s="6"/>
      <c r="AC883" s="6"/>
      <c r="AD883" s="6"/>
      <c r="AE883" s="6"/>
      <c r="AF883" s="6"/>
      <c r="AG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7"/>
      <c r="S884" s="6"/>
      <c r="T884" s="6"/>
      <c r="U884" s="6"/>
      <c r="V884" s="6"/>
      <c r="W884" s="7"/>
      <c r="X884" s="6"/>
      <c r="Y884" s="6"/>
      <c r="Z884" s="6"/>
      <c r="AA884" s="6"/>
      <c r="AB884" s="6"/>
      <c r="AC884" s="6"/>
      <c r="AD884" s="6"/>
      <c r="AE884" s="6"/>
      <c r="AF884" s="6"/>
      <c r="AG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7"/>
      <c r="S885" s="6"/>
      <c r="T885" s="6"/>
      <c r="U885" s="6"/>
      <c r="V885" s="6"/>
      <c r="W885" s="7"/>
      <c r="X885" s="6"/>
      <c r="Y885" s="6"/>
      <c r="Z885" s="6"/>
      <c r="AA885" s="6"/>
      <c r="AB885" s="6"/>
      <c r="AC885" s="6"/>
      <c r="AD885" s="6"/>
      <c r="AE885" s="6"/>
      <c r="AF885" s="6"/>
      <c r="AG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/>
      <c r="S886" s="6"/>
      <c r="T886" s="6"/>
      <c r="U886" s="6"/>
      <c r="V886" s="6"/>
      <c r="W886" s="7"/>
      <c r="X886" s="6"/>
      <c r="Y886" s="6"/>
      <c r="Z886" s="6"/>
      <c r="AA886" s="6"/>
      <c r="AB886" s="6"/>
      <c r="AC886" s="6"/>
      <c r="AD886" s="6"/>
      <c r="AE886" s="6"/>
      <c r="AF886" s="6"/>
      <c r="AG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/>
      <c r="S887" s="6"/>
      <c r="T887" s="6"/>
      <c r="U887" s="6"/>
      <c r="V887" s="6"/>
      <c r="W887" s="7"/>
      <c r="X887" s="6"/>
      <c r="Y887" s="6"/>
      <c r="Z887" s="6"/>
      <c r="AA887" s="6"/>
      <c r="AB887" s="6"/>
      <c r="AC887" s="6"/>
      <c r="AD887" s="6"/>
      <c r="AE887" s="6"/>
      <c r="AF887" s="6"/>
      <c r="AG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7"/>
      <c r="S888" s="6"/>
      <c r="T888" s="6"/>
      <c r="U888" s="6"/>
      <c r="V888" s="6"/>
      <c r="W888" s="7"/>
      <c r="X888" s="6"/>
      <c r="Y888" s="6"/>
      <c r="Z888" s="6"/>
      <c r="AA888" s="6"/>
      <c r="AB888" s="6"/>
      <c r="AC888" s="6"/>
      <c r="AD888" s="6"/>
      <c r="AE888" s="6"/>
      <c r="AF888" s="6"/>
      <c r="AG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/>
      <c r="S889" s="6"/>
      <c r="T889" s="6"/>
      <c r="U889" s="6"/>
      <c r="V889" s="6"/>
      <c r="W889" s="7"/>
      <c r="X889" s="6"/>
      <c r="Y889" s="6"/>
      <c r="Z889" s="6"/>
      <c r="AA889" s="6"/>
      <c r="AB889" s="6"/>
      <c r="AC889" s="6"/>
      <c r="AD889" s="6"/>
      <c r="AE889" s="6"/>
      <c r="AF889" s="6"/>
      <c r="AG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/>
      <c r="S890" s="6"/>
      <c r="T890" s="6"/>
      <c r="U890" s="6"/>
      <c r="V890" s="6"/>
      <c r="W890" s="7"/>
      <c r="X890" s="6"/>
      <c r="Y890" s="6"/>
      <c r="Z890" s="6"/>
      <c r="AA890" s="6"/>
      <c r="AB890" s="6"/>
      <c r="AC890" s="6"/>
      <c r="AD890" s="6"/>
      <c r="AE890" s="6"/>
      <c r="AF890" s="6"/>
      <c r="AG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/>
      <c r="S891" s="6"/>
      <c r="T891" s="6"/>
      <c r="U891" s="6"/>
      <c r="V891" s="6"/>
      <c r="W891" s="7"/>
      <c r="X891" s="6"/>
      <c r="Y891" s="6"/>
      <c r="Z891" s="6"/>
      <c r="AA891" s="6"/>
      <c r="AB891" s="6"/>
      <c r="AC891" s="6"/>
      <c r="AD891" s="6"/>
      <c r="AE891" s="6"/>
      <c r="AF891" s="6"/>
      <c r="AG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7"/>
      <c r="S892" s="6"/>
      <c r="T892" s="6"/>
      <c r="U892" s="6"/>
      <c r="V892" s="6"/>
      <c r="W892" s="7"/>
      <c r="X892" s="6"/>
      <c r="Y892" s="6"/>
      <c r="Z892" s="6"/>
      <c r="AA892" s="6"/>
      <c r="AB892" s="6"/>
      <c r="AC892" s="6"/>
      <c r="AD892" s="6"/>
      <c r="AE892" s="6"/>
      <c r="AF892" s="6"/>
      <c r="AG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7"/>
      <c r="S893" s="6"/>
      <c r="T893" s="6"/>
      <c r="U893" s="6"/>
      <c r="V893" s="6"/>
      <c r="W893" s="7"/>
      <c r="X893" s="6"/>
      <c r="Y893" s="6"/>
      <c r="Z893" s="6"/>
      <c r="AA893" s="6"/>
      <c r="AB893" s="6"/>
      <c r="AC893" s="6"/>
      <c r="AD893" s="6"/>
      <c r="AE893" s="6"/>
      <c r="AF893" s="6"/>
      <c r="AG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7"/>
      <c r="S894" s="6"/>
      <c r="T894" s="6"/>
      <c r="U894" s="6"/>
      <c r="V894" s="6"/>
      <c r="W894" s="7"/>
      <c r="X894" s="6"/>
      <c r="Y894" s="6"/>
      <c r="Z894" s="6"/>
      <c r="AA894" s="6"/>
      <c r="AB894" s="6"/>
      <c r="AC894" s="6"/>
      <c r="AD894" s="6"/>
      <c r="AE894" s="6"/>
      <c r="AF894" s="6"/>
      <c r="AG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/>
      <c r="S895" s="6"/>
      <c r="T895" s="6"/>
      <c r="U895" s="6"/>
      <c r="V895" s="6"/>
      <c r="W895" s="7"/>
      <c r="X895" s="6"/>
      <c r="Y895" s="6"/>
      <c r="Z895" s="6"/>
      <c r="AA895" s="6"/>
      <c r="AB895" s="6"/>
      <c r="AC895" s="6"/>
      <c r="AD895" s="6"/>
      <c r="AE895" s="6"/>
      <c r="AF895" s="6"/>
      <c r="AG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/>
      <c r="S896" s="6"/>
      <c r="T896" s="6"/>
      <c r="U896" s="6"/>
      <c r="V896" s="6"/>
      <c r="W896" s="7"/>
      <c r="X896" s="6"/>
      <c r="Y896" s="6"/>
      <c r="Z896" s="6"/>
      <c r="AA896" s="6"/>
      <c r="AB896" s="6"/>
      <c r="AC896" s="6"/>
      <c r="AD896" s="6"/>
      <c r="AE896" s="6"/>
      <c r="AF896" s="6"/>
      <c r="AG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/>
      <c r="S897" s="6"/>
      <c r="T897" s="6"/>
      <c r="U897" s="6"/>
      <c r="V897" s="6"/>
      <c r="W897" s="7"/>
      <c r="X897" s="6"/>
      <c r="Y897" s="6"/>
      <c r="Z897" s="6"/>
      <c r="AA897" s="6"/>
      <c r="AB897" s="6"/>
      <c r="AC897" s="6"/>
      <c r="AD897" s="6"/>
      <c r="AE897" s="6"/>
      <c r="AF897" s="6"/>
      <c r="AG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/>
      <c r="S898" s="6"/>
      <c r="T898" s="6"/>
      <c r="U898" s="6"/>
      <c r="V898" s="6"/>
      <c r="W898" s="7"/>
      <c r="X898" s="6"/>
      <c r="Y898" s="6"/>
      <c r="Z898" s="6"/>
      <c r="AA898" s="6"/>
      <c r="AB898" s="6"/>
      <c r="AC898" s="6"/>
      <c r="AD898" s="6"/>
      <c r="AE898" s="6"/>
      <c r="AF898" s="6"/>
      <c r="AG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/>
      <c r="S899" s="6"/>
      <c r="T899" s="6"/>
      <c r="U899" s="6"/>
      <c r="V899" s="6"/>
      <c r="W899" s="7"/>
      <c r="X899" s="6"/>
      <c r="Y899" s="6"/>
      <c r="Z899" s="6"/>
      <c r="AA899" s="6"/>
      <c r="AB899" s="6"/>
      <c r="AC899" s="6"/>
      <c r="AD899" s="6"/>
      <c r="AE899" s="6"/>
      <c r="AF899" s="6"/>
      <c r="AG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/>
      <c r="S900" s="6"/>
      <c r="T900" s="6"/>
      <c r="U900" s="6"/>
      <c r="V900" s="6"/>
      <c r="W900" s="7"/>
      <c r="X900" s="6"/>
      <c r="Y900" s="6"/>
      <c r="Z900" s="6"/>
      <c r="AA900" s="6"/>
      <c r="AB900" s="6"/>
      <c r="AC900" s="6"/>
      <c r="AD900" s="6"/>
      <c r="AE900" s="6"/>
      <c r="AF900" s="6"/>
      <c r="AG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/>
      <c r="S901" s="6"/>
      <c r="T901" s="6"/>
      <c r="U901" s="6"/>
      <c r="V901" s="6"/>
      <c r="W901" s="7"/>
      <c r="X901" s="6"/>
      <c r="Y901" s="6"/>
      <c r="Z901" s="6"/>
      <c r="AA901" s="6"/>
      <c r="AB901" s="6"/>
      <c r="AC901" s="6"/>
      <c r="AD901" s="6"/>
      <c r="AE901" s="6"/>
      <c r="AF901" s="6"/>
      <c r="AG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/>
      <c r="S902" s="6"/>
      <c r="T902" s="6"/>
      <c r="U902" s="6"/>
      <c r="V902" s="6"/>
      <c r="W902" s="7"/>
      <c r="X902" s="6"/>
      <c r="Y902" s="6"/>
      <c r="Z902" s="6"/>
      <c r="AA902" s="6"/>
      <c r="AB902" s="6"/>
      <c r="AC902" s="6"/>
      <c r="AD902" s="6"/>
      <c r="AE902" s="6"/>
      <c r="AF902" s="6"/>
      <c r="AG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/>
      <c r="S903" s="6"/>
      <c r="T903" s="6"/>
      <c r="U903" s="6"/>
      <c r="V903" s="6"/>
      <c r="W903" s="7"/>
      <c r="X903" s="6"/>
      <c r="Y903" s="6"/>
      <c r="Z903" s="6"/>
      <c r="AA903" s="6"/>
      <c r="AB903" s="6"/>
      <c r="AC903" s="6"/>
      <c r="AD903" s="6"/>
      <c r="AE903" s="6"/>
      <c r="AF903" s="6"/>
      <c r="AG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/>
      <c r="S904" s="6"/>
      <c r="T904" s="6"/>
      <c r="U904" s="6"/>
      <c r="V904" s="6"/>
      <c r="W904" s="7"/>
      <c r="X904" s="6"/>
      <c r="Y904" s="6"/>
      <c r="Z904" s="6"/>
      <c r="AA904" s="6"/>
      <c r="AB904" s="6"/>
      <c r="AC904" s="6"/>
      <c r="AD904" s="6"/>
      <c r="AE904" s="6"/>
      <c r="AF904" s="6"/>
      <c r="AG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/>
      <c r="S905" s="6"/>
      <c r="T905" s="6"/>
      <c r="U905" s="6"/>
      <c r="V905" s="6"/>
      <c r="W905" s="7"/>
      <c r="X905" s="6"/>
      <c r="Y905" s="6"/>
      <c r="Z905" s="6"/>
      <c r="AA905" s="6"/>
      <c r="AB905" s="6"/>
      <c r="AC905" s="6"/>
      <c r="AD905" s="6"/>
      <c r="AE905" s="6"/>
      <c r="AF905" s="6"/>
      <c r="AG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/>
      <c r="S906" s="6"/>
      <c r="T906" s="6"/>
      <c r="U906" s="6"/>
      <c r="V906" s="6"/>
      <c r="W906" s="7"/>
      <c r="X906" s="6"/>
      <c r="Y906" s="6"/>
      <c r="Z906" s="6"/>
      <c r="AA906" s="6"/>
      <c r="AB906" s="6"/>
      <c r="AC906" s="6"/>
      <c r="AD906" s="6"/>
      <c r="AE906" s="6"/>
      <c r="AF906" s="6"/>
      <c r="AG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/>
      <c r="S907" s="6"/>
      <c r="T907" s="6"/>
      <c r="U907" s="6"/>
      <c r="V907" s="6"/>
      <c r="W907" s="7"/>
      <c r="X907" s="6"/>
      <c r="Y907" s="6"/>
      <c r="Z907" s="6"/>
      <c r="AA907" s="6"/>
      <c r="AB907" s="6"/>
      <c r="AC907" s="6"/>
      <c r="AD907" s="6"/>
      <c r="AE907" s="6"/>
      <c r="AF907" s="6"/>
      <c r="AG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/>
      <c r="S908" s="6"/>
      <c r="T908" s="6"/>
      <c r="U908" s="6"/>
      <c r="V908" s="6"/>
      <c r="W908" s="7"/>
      <c r="X908" s="6"/>
      <c r="Y908" s="6"/>
      <c r="Z908" s="6"/>
      <c r="AA908" s="6"/>
      <c r="AB908" s="6"/>
      <c r="AC908" s="6"/>
      <c r="AD908" s="6"/>
      <c r="AE908" s="6"/>
      <c r="AF908" s="6"/>
      <c r="AG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/>
      <c r="S909" s="6"/>
      <c r="T909" s="6"/>
      <c r="U909" s="6"/>
      <c r="V909" s="6"/>
      <c r="W909" s="7"/>
      <c r="X909" s="6"/>
      <c r="Y909" s="6"/>
      <c r="Z909" s="6"/>
      <c r="AA909" s="6"/>
      <c r="AB909" s="6"/>
      <c r="AC909" s="6"/>
      <c r="AD909" s="6"/>
      <c r="AE909" s="6"/>
      <c r="AF909" s="6"/>
      <c r="AG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/>
      <c r="S910" s="6"/>
      <c r="T910" s="6"/>
      <c r="U910" s="6"/>
      <c r="V910" s="6"/>
      <c r="W910" s="7"/>
      <c r="X910" s="6"/>
      <c r="Y910" s="6"/>
      <c r="Z910" s="6"/>
      <c r="AA910" s="6"/>
      <c r="AB910" s="6"/>
      <c r="AC910" s="6"/>
      <c r="AD910" s="6"/>
      <c r="AE910" s="6"/>
      <c r="AF910" s="6"/>
      <c r="AG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/>
      <c r="S911" s="6"/>
      <c r="T911" s="6"/>
      <c r="U911" s="6"/>
      <c r="V911" s="6"/>
      <c r="W911" s="7"/>
      <c r="X911" s="6"/>
      <c r="Y911" s="6"/>
      <c r="Z911" s="6"/>
      <c r="AA911" s="6"/>
      <c r="AB911" s="6"/>
      <c r="AC911" s="6"/>
      <c r="AD911" s="6"/>
      <c r="AE911" s="6"/>
      <c r="AF911" s="6"/>
      <c r="AG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/>
      <c r="S912" s="6"/>
      <c r="T912" s="6"/>
      <c r="U912" s="6"/>
      <c r="V912" s="6"/>
      <c r="W912" s="7"/>
      <c r="X912" s="6"/>
      <c r="Y912" s="6"/>
      <c r="Z912" s="6"/>
      <c r="AA912" s="6"/>
      <c r="AB912" s="6"/>
      <c r="AC912" s="6"/>
      <c r="AD912" s="6"/>
      <c r="AE912" s="6"/>
      <c r="AF912" s="6"/>
      <c r="AG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/>
      <c r="S913" s="6"/>
      <c r="T913" s="6"/>
      <c r="U913" s="6"/>
      <c r="V913" s="6"/>
      <c r="W913" s="7"/>
      <c r="X913" s="6"/>
      <c r="Y913" s="6"/>
      <c r="Z913" s="6"/>
      <c r="AA913" s="6"/>
      <c r="AB913" s="6"/>
      <c r="AC913" s="6"/>
      <c r="AD913" s="6"/>
      <c r="AE913" s="6"/>
      <c r="AF913" s="6"/>
      <c r="AG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/>
      <c r="S914" s="6"/>
      <c r="T914" s="6"/>
      <c r="U914" s="6"/>
      <c r="V914" s="6"/>
      <c r="W914" s="7"/>
      <c r="X914" s="6"/>
      <c r="Y914" s="6"/>
      <c r="Z914" s="6"/>
      <c r="AA914" s="6"/>
      <c r="AB914" s="6"/>
      <c r="AC914" s="6"/>
      <c r="AD914" s="6"/>
      <c r="AE914" s="6"/>
      <c r="AF914" s="6"/>
      <c r="AG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/>
      <c r="S915" s="6"/>
      <c r="T915" s="6"/>
      <c r="U915" s="6"/>
      <c r="V915" s="6"/>
      <c r="W915" s="7"/>
      <c r="X915" s="6"/>
      <c r="Y915" s="6"/>
      <c r="Z915" s="6"/>
      <c r="AA915" s="6"/>
      <c r="AB915" s="6"/>
      <c r="AC915" s="6"/>
      <c r="AD915" s="6"/>
      <c r="AE915" s="6"/>
      <c r="AF915" s="6"/>
      <c r="AG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/>
      <c r="S916" s="6"/>
      <c r="T916" s="6"/>
      <c r="U916" s="6"/>
      <c r="V916" s="6"/>
      <c r="W916" s="7"/>
      <c r="X916" s="6"/>
      <c r="Y916" s="6"/>
      <c r="Z916" s="6"/>
      <c r="AA916" s="6"/>
      <c r="AB916" s="6"/>
      <c r="AC916" s="6"/>
      <c r="AD916" s="6"/>
      <c r="AE916" s="6"/>
      <c r="AF916" s="6"/>
      <c r="AG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/>
      <c r="S917" s="6"/>
      <c r="T917" s="6"/>
      <c r="U917" s="6"/>
      <c r="V917" s="6"/>
      <c r="W917" s="7"/>
      <c r="X917" s="6"/>
      <c r="Y917" s="6"/>
      <c r="Z917" s="6"/>
      <c r="AA917" s="6"/>
      <c r="AB917" s="6"/>
      <c r="AC917" s="6"/>
      <c r="AD917" s="6"/>
      <c r="AE917" s="6"/>
      <c r="AF917" s="6"/>
      <c r="AG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/>
      <c r="S918" s="6"/>
      <c r="T918" s="6"/>
      <c r="U918" s="6"/>
      <c r="V918" s="6"/>
      <c r="W918" s="7"/>
      <c r="X918" s="6"/>
      <c r="Y918" s="6"/>
      <c r="Z918" s="6"/>
      <c r="AA918" s="6"/>
      <c r="AB918" s="6"/>
      <c r="AC918" s="6"/>
      <c r="AD918" s="6"/>
      <c r="AE918" s="6"/>
      <c r="AF918" s="6"/>
      <c r="AG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/>
      <c r="S919" s="6"/>
      <c r="T919" s="6"/>
      <c r="U919" s="6"/>
      <c r="V919" s="6"/>
      <c r="W919" s="7"/>
      <c r="X919" s="6"/>
      <c r="Y919" s="6"/>
      <c r="Z919" s="6"/>
      <c r="AA919" s="6"/>
      <c r="AB919" s="6"/>
      <c r="AC919" s="6"/>
      <c r="AD919" s="6"/>
      <c r="AE919" s="6"/>
      <c r="AF919" s="6"/>
      <c r="AG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/>
      <c r="S920" s="6"/>
      <c r="T920" s="6"/>
      <c r="U920" s="6"/>
      <c r="V920" s="6"/>
      <c r="W920" s="7"/>
      <c r="X920" s="6"/>
      <c r="Y920" s="6"/>
      <c r="Z920" s="6"/>
      <c r="AA920" s="6"/>
      <c r="AB920" s="6"/>
      <c r="AC920" s="6"/>
      <c r="AD920" s="6"/>
      <c r="AE920" s="6"/>
      <c r="AF920" s="6"/>
      <c r="AG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/>
      <c r="S921" s="6"/>
      <c r="T921" s="6"/>
      <c r="U921" s="6"/>
      <c r="V921" s="6"/>
      <c r="W921" s="7"/>
      <c r="X921" s="6"/>
      <c r="Y921" s="6"/>
      <c r="Z921" s="6"/>
      <c r="AA921" s="6"/>
      <c r="AB921" s="6"/>
      <c r="AC921" s="6"/>
      <c r="AD921" s="6"/>
      <c r="AE921" s="6"/>
      <c r="AF921" s="6"/>
      <c r="AG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/>
      <c r="S922" s="6"/>
      <c r="T922" s="6"/>
      <c r="U922" s="6"/>
      <c r="V922" s="6"/>
      <c r="W922" s="7"/>
      <c r="X922" s="6"/>
      <c r="Y922" s="6"/>
      <c r="Z922" s="6"/>
      <c r="AA922" s="6"/>
      <c r="AB922" s="6"/>
      <c r="AC922" s="6"/>
      <c r="AD922" s="6"/>
      <c r="AE922" s="6"/>
      <c r="AF922" s="6"/>
      <c r="AG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/>
      <c r="S923" s="6"/>
      <c r="T923" s="6"/>
      <c r="U923" s="6"/>
      <c r="V923" s="6"/>
      <c r="W923" s="7"/>
      <c r="X923" s="6"/>
      <c r="Y923" s="6"/>
      <c r="Z923" s="6"/>
      <c r="AA923" s="6"/>
      <c r="AB923" s="6"/>
      <c r="AC923" s="6"/>
      <c r="AD923" s="6"/>
      <c r="AE923" s="6"/>
      <c r="AF923" s="6"/>
      <c r="AG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/>
      <c r="S924" s="6"/>
      <c r="T924" s="6"/>
      <c r="U924" s="6"/>
      <c r="V924" s="6"/>
      <c r="W924" s="7"/>
      <c r="X924" s="6"/>
      <c r="Y924" s="6"/>
      <c r="Z924" s="6"/>
      <c r="AA924" s="6"/>
      <c r="AB924" s="6"/>
      <c r="AC924" s="6"/>
      <c r="AD924" s="6"/>
      <c r="AE924" s="6"/>
      <c r="AF924" s="6"/>
      <c r="AG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/>
      <c r="S925" s="6"/>
      <c r="T925" s="6"/>
      <c r="U925" s="6"/>
      <c r="V925" s="6"/>
      <c r="W925" s="7"/>
      <c r="X925" s="6"/>
      <c r="Y925" s="6"/>
      <c r="Z925" s="6"/>
      <c r="AA925" s="6"/>
      <c r="AB925" s="6"/>
      <c r="AC925" s="6"/>
      <c r="AD925" s="6"/>
      <c r="AE925" s="6"/>
      <c r="AF925" s="6"/>
      <c r="AG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/>
      <c r="S926" s="6"/>
      <c r="T926" s="6"/>
      <c r="U926" s="6"/>
      <c r="V926" s="6"/>
      <c r="W926" s="7"/>
      <c r="X926" s="6"/>
      <c r="Y926" s="6"/>
      <c r="Z926" s="6"/>
      <c r="AA926" s="6"/>
      <c r="AB926" s="6"/>
      <c r="AC926" s="6"/>
      <c r="AD926" s="6"/>
      <c r="AE926" s="6"/>
      <c r="AF926" s="6"/>
      <c r="AG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/>
      <c r="S927" s="6"/>
      <c r="T927" s="6"/>
      <c r="U927" s="6"/>
      <c r="V927" s="6"/>
      <c r="W927" s="7"/>
      <c r="X927" s="6"/>
      <c r="Y927" s="6"/>
      <c r="Z927" s="6"/>
      <c r="AA927" s="6"/>
      <c r="AB927" s="6"/>
      <c r="AC927" s="6"/>
      <c r="AD927" s="6"/>
      <c r="AE927" s="6"/>
      <c r="AF927" s="6"/>
      <c r="AG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/>
      <c r="S928" s="6"/>
      <c r="T928" s="6"/>
      <c r="U928" s="6"/>
      <c r="V928" s="6"/>
      <c r="W928" s="7"/>
      <c r="X928" s="6"/>
      <c r="Y928" s="6"/>
      <c r="Z928" s="6"/>
      <c r="AA928" s="6"/>
      <c r="AB928" s="6"/>
      <c r="AC928" s="6"/>
      <c r="AD928" s="6"/>
      <c r="AE928" s="6"/>
      <c r="AF928" s="6"/>
      <c r="AG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/>
      <c r="S929" s="6"/>
      <c r="T929" s="6"/>
      <c r="U929" s="6"/>
      <c r="V929" s="6"/>
      <c r="W929" s="7"/>
      <c r="X929" s="6"/>
      <c r="Y929" s="6"/>
      <c r="Z929" s="6"/>
      <c r="AA929" s="6"/>
      <c r="AB929" s="6"/>
      <c r="AC929" s="6"/>
      <c r="AD929" s="6"/>
      <c r="AE929" s="6"/>
      <c r="AF929" s="6"/>
      <c r="AG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/>
      <c r="S930" s="6"/>
      <c r="T930" s="6"/>
      <c r="U930" s="6"/>
      <c r="V930" s="6"/>
      <c r="W930" s="7"/>
      <c r="X930" s="6"/>
      <c r="Y930" s="6"/>
      <c r="Z930" s="6"/>
      <c r="AA930" s="6"/>
      <c r="AB930" s="6"/>
      <c r="AC930" s="6"/>
      <c r="AD930" s="6"/>
      <c r="AE930" s="6"/>
      <c r="AF930" s="6"/>
      <c r="AG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/>
      <c r="S931" s="6"/>
      <c r="T931" s="6"/>
      <c r="U931" s="6"/>
      <c r="V931" s="6"/>
      <c r="W931" s="7"/>
      <c r="X931" s="6"/>
      <c r="Y931" s="6"/>
      <c r="Z931" s="6"/>
      <c r="AA931" s="6"/>
      <c r="AB931" s="6"/>
      <c r="AC931" s="6"/>
      <c r="AD931" s="6"/>
      <c r="AE931" s="6"/>
      <c r="AF931" s="6"/>
      <c r="AG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/>
      <c r="S932" s="6"/>
      <c r="T932" s="6"/>
      <c r="U932" s="6"/>
      <c r="V932" s="6"/>
      <c r="W932" s="7"/>
      <c r="X932" s="6"/>
      <c r="Y932" s="6"/>
      <c r="Z932" s="6"/>
      <c r="AA932" s="6"/>
      <c r="AB932" s="6"/>
      <c r="AC932" s="6"/>
      <c r="AD932" s="6"/>
      <c r="AE932" s="6"/>
      <c r="AF932" s="6"/>
      <c r="AG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/>
      <c r="S933" s="6"/>
      <c r="T933" s="6"/>
      <c r="U933" s="6"/>
      <c r="V933" s="6"/>
      <c r="W933" s="7"/>
      <c r="X933" s="6"/>
      <c r="Y933" s="6"/>
      <c r="Z933" s="6"/>
      <c r="AA933" s="6"/>
      <c r="AB933" s="6"/>
      <c r="AC933" s="6"/>
      <c r="AD933" s="6"/>
      <c r="AE933" s="6"/>
      <c r="AF933" s="6"/>
      <c r="AG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/>
      <c r="S934" s="6"/>
      <c r="T934" s="6"/>
      <c r="U934" s="6"/>
      <c r="V934" s="6"/>
      <c r="W934" s="7"/>
      <c r="X934" s="6"/>
      <c r="Y934" s="6"/>
      <c r="Z934" s="6"/>
      <c r="AA934" s="6"/>
      <c r="AB934" s="6"/>
      <c r="AC934" s="6"/>
      <c r="AD934" s="6"/>
      <c r="AE934" s="6"/>
      <c r="AF934" s="6"/>
      <c r="AG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/>
      <c r="S935" s="6"/>
      <c r="T935" s="6"/>
      <c r="U935" s="6"/>
      <c r="V935" s="6"/>
      <c r="W935" s="7"/>
      <c r="X935" s="6"/>
      <c r="Y935" s="6"/>
      <c r="Z935" s="6"/>
      <c r="AA935" s="6"/>
      <c r="AB935" s="6"/>
      <c r="AC935" s="6"/>
      <c r="AD935" s="6"/>
      <c r="AE935" s="6"/>
      <c r="AF935" s="6"/>
      <c r="AG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/>
      <c r="S936" s="6"/>
      <c r="T936" s="6"/>
      <c r="U936" s="6"/>
      <c r="V936" s="6"/>
      <c r="W936" s="7"/>
      <c r="X936" s="6"/>
      <c r="Y936" s="6"/>
      <c r="Z936" s="6"/>
      <c r="AA936" s="6"/>
      <c r="AB936" s="6"/>
      <c r="AC936" s="6"/>
      <c r="AD936" s="6"/>
      <c r="AE936" s="6"/>
      <c r="AF936" s="6"/>
      <c r="AG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/>
      <c r="S937" s="6"/>
      <c r="T937" s="6"/>
      <c r="U937" s="6"/>
      <c r="V937" s="6"/>
      <c r="W937" s="7"/>
      <c r="X937" s="6"/>
      <c r="Y937" s="6"/>
      <c r="Z937" s="6"/>
      <c r="AA937" s="6"/>
      <c r="AB937" s="6"/>
      <c r="AC937" s="6"/>
      <c r="AD937" s="6"/>
      <c r="AE937" s="6"/>
      <c r="AF937" s="6"/>
      <c r="AG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/>
      <c r="S938" s="6"/>
      <c r="T938" s="6"/>
      <c r="U938" s="6"/>
      <c r="V938" s="6"/>
      <c r="W938" s="7"/>
      <c r="X938" s="6"/>
      <c r="Y938" s="6"/>
      <c r="Z938" s="6"/>
      <c r="AA938" s="6"/>
      <c r="AB938" s="6"/>
      <c r="AC938" s="6"/>
      <c r="AD938" s="6"/>
      <c r="AE938" s="6"/>
      <c r="AF938" s="6"/>
      <c r="AG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/>
      <c r="S939" s="6"/>
      <c r="T939" s="6"/>
      <c r="U939" s="6"/>
      <c r="V939" s="6"/>
      <c r="W939" s="7"/>
      <c r="X939" s="6"/>
      <c r="Y939" s="6"/>
      <c r="Z939" s="6"/>
      <c r="AA939" s="6"/>
      <c r="AB939" s="6"/>
      <c r="AC939" s="6"/>
      <c r="AD939" s="6"/>
      <c r="AE939" s="6"/>
      <c r="AF939" s="6"/>
      <c r="AG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/>
      <c r="S940" s="6"/>
      <c r="T940" s="6"/>
      <c r="U940" s="6"/>
      <c r="V940" s="6"/>
      <c r="W940" s="7"/>
      <c r="X940" s="6"/>
      <c r="Y940" s="6"/>
      <c r="Z940" s="6"/>
      <c r="AA940" s="6"/>
      <c r="AB940" s="6"/>
      <c r="AC940" s="6"/>
      <c r="AD940" s="6"/>
      <c r="AE940" s="6"/>
      <c r="AF940" s="6"/>
      <c r="AG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/>
      <c r="S941" s="6"/>
      <c r="T941" s="6"/>
      <c r="U941" s="6"/>
      <c r="V941" s="6"/>
      <c r="W941" s="7"/>
      <c r="X941" s="6"/>
      <c r="Y941" s="6"/>
      <c r="Z941" s="6"/>
      <c r="AA941" s="6"/>
      <c r="AB941" s="6"/>
      <c r="AC941" s="6"/>
      <c r="AD941" s="6"/>
      <c r="AE941" s="6"/>
      <c r="AF941" s="6"/>
      <c r="AG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/>
      <c r="S942" s="6"/>
      <c r="T942" s="6"/>
      <c r="U942" s="6"/>
      <c r="V942" s="6"/>
      <c r="W942" s="7"/>
      <c r="X942" s="6"/>
      <c r="Y942" s="6"/>
      <c r="Z942" s="6"/>
      <c r="AA942" s="6"/>
      <c r="AB942" s="6"/>
      <c r="AC942" s="6"/>
      <c r="AD942" s="6"/>
      <c r="AE942" s="6"/>
      <c r="AF942" s="6"/>
      <c r="AG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/>
      <c r="S943" s="6"/>
      <c r="T943" s="6"/>
      <c r="U943" s="6"/>
      <c r="V943" s="6"/>
      <c r="W943" s="7"/>
      <c r="X943" s="6"/>
      <c r="Y943" s="6"/>
      <c r="Z943" s="6"/>
      <c r="AA943" s="6"/>
      <c r="AB943" s="6"/>
      <c r="AC943" s="6"/>
      <c r="AD943" s="6"/>
      <c r="AE943" s="6"/>
      <c r="AF943" s="6"/>
      <c r="AG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/>
      <c r="S944" s="6"/>
      <c r="T944" s="6"/>
      <c r="U944" s="6"/>
      <c r="V944" s="6"/>
      <c r="W944" s="7"/>
      <c r="X944" s="6"/>
      <c r="Y944" s="6"/>
      <c r="Z944" s="6"/>
      <c r="AA944" s="6"/>
      <c r="AB944" s="6"/>
      <c r="AC944" s="6"/>
      <c r="AD944" s="6"/>
      <c r="AE944" s="6"/>
      <c r="AF944" s="6"/>
      <c r="AG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/>
      <c r="S945" s="6"/>
      <c r="T945" s="6"/>
      <c r="U945" s="6"/>
      <c r="V945" s="6"/>
      <c r="W945" s="7"/>
      <c r="X945" s="6"/>
      <c r="Y945" s="6"/>
      <c r="Z945" s="6"/>
      <c r="AA945" s="6"/>
      <c r="AB945" s="6"/>
      <c r="AC945" s="6"/>
      <c r="AD945" s="6"/>
      <c r="AE945" s="6"/>
      <c r="AF945" s="6"/>
      <c r="AG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/>
      <c r="S946" s="6"/>
      <c r="T946" s="6"/>
      <c r="U946" s="6"/>
      <c r="V946" s="6"/>
      <c r="W946" s="7"/>
      <c r="X946" s="6"/>
      <c r="Y946" s="6"/>
      <c r="Z946" s="6"/>
      <c r="AA946" s="6"/>
      <c r="AB946" s="6"/>
      <c r="AC946" s="6"/>
      <c r="AD946" s="6"/>
      <c r="AE946" s="6"/>
      <c r="AF946" s="6"/>
      <c r="AG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/>
      <c r="S947" s="6"/>
      <c r="T947" s="6"/>
      <c r="U947" s="6"/>
      <c r="V947" s="6"/>
      <c r="W947" s="7"/>
      <c r="X947" s="6"/>
      <c r="Y947" s="6"/>
      <c r="Z947" s="6"/>
      <c r="AA947" s="6"/>
      <c r="AB947" s="6"/>
      <c r="AC947" s="6"/>
      <c r="AD947" s="6"/>
      <c r="AE947" s="6"/>
      <c r="AF947" s="6"/>
      <c r="AG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/>
      <c r="S948" s="6"/>
      <c r="T948" s="6"/>
      <c r="U948" s="6"/>
      <c r="V948" s="6"/>
      <c r="W948" s="7"/>
      <c r="X948" s="6"/>
      <c r="Y948" s="6"/>
      <c r="Z948" s="6"/>
      <c r="AA948" s="6"/>
      <c r="AB948" s="6"/>
      <c r="AC948" s="6"/>
      <c r="AD948" s="6"/>
      <c r="AE948" s="6"/>
      <c r="AF948" s="6"/>
      <c r="AG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/>
      <c r="S949" s="6"/>
      <c r="T949" s="6"/>
      <c r="U949" s="6"/>
      <c r="V949" s="6"/>
      <c r="W949" s="7"/>
      <c r="X949" s="6"/>
      <c r="Y949" s="6"/>
      <c r="Z949" s="6"/>
      <c r="AA949" s="6"/>
      <c r="AB949" s="6"/>
      <c r="AC949" s="6"/>
      <c r="AD949" s="6"/>
      <c r="AE949" s="6"/>
      <c r="AF949" s="6"/>
      <c r="AG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/>
      <c r="S950" s="6"/>
      <c r="T950" s="6"/>
      <c r="U950" s="6"/>
      <c r="V950" s="6"/>
      <c r="W950" s="7"/>
      <c r="X950" s="6"/>
      <c r="Y950" s="6"/>
      <c r="Z950" s="6"/>
      <c r="AA950" s="6"/>
      <c r="AB950" s="6"/>
      <c r="AC950" s="6"/>
      <c r="AD950" s="6"/>
      <c r="AE950" s="6"/>
      <c r="AF950" s="6"/>
      <c r="AG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/>
      <c r="S951" s="6"/>
      <c r="T951" s="6"/>
      <c r="U951" s="6"/>
      <c r="V951" s="6"/>
      <c r="W951" s="7"/>
      <c r="X951" s="6"/>
      <c r="Y951" s="6"/>
      <c r="Z951" s="6"/>
      <c r="AA951" s="6"/>
      <c r="AB951" s="6"/>
      <c r="AC951" s="6"/>
      <c r="AD951" s="6"/>
      <c r="AE951" s="6"/>
      <c r="AF951" s="6"/>
      <c r="AG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/>
      <c r="S952" s="6"/>
      <c r="T952" s="6"/>
      <c r="U952" s="6"/>
      <c r="V952" s="6"/>
      <c r="W952" s="7"/>
      <c r="X952" s="6"/>
      <c r="Y952" s="6"/>
      <c r="Z952" s="6"/>
      <c r="AA952" s="6"/>
      <c r="AB952" s="6"/>
      <c r="AC952" s="6"/>
      <c r="AD952" s="6"/>
      <c r="AE952" s="6"/>
      <c r="AF952" s="6"/>
      <c r="AG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/>
      <c r="S953" s="6"/>
      <c r="T953" s="6"/>
      <c r="U953" s="6"/>
      <c r="V953" s="6"/>
      <c r="W953" s="7"/>
      <c r="X953" s="6"/>
      <c r="Y953" s="6"/>
      <c r="Z953" s="6"/>
      <c r="AA953" s="6"/>
      <c r="AB953" s="6"/>
      <c r="AC953" s="6"/>
      <c r="AD953" s="6"/>
      <c r="AE953" s="6"/>
      <c r="AF953" s="6"/>
      <c r="AG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/>
      <c r="S954" s="6"/>
      <c r="T954" s="6"/>
      <c r="U954" s="6"/>
      <c r="V954" s="6"/>
      <c r="W954" s="7"/>
      <c r="X954" s="6"/>
      <c r="Y954" s="6"/>
      <c r="Z954" s="6"/>
      <c r="AA954" s="6"/>
      <c r="AB954" s="6"/>
      <c r="AC954" s="6"/>
      <c r="AD954" s="6"/>
      <c r="AE954" s="6"/>
      <c r="AF954" s="6"/>
      <c r="AG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/>
      <c r="S955" s="6"/>
      <c r="T955" s="6"/>
      <c r="U955" s="6"/>
      <c r="V955" s="6"/>
      <c r="W955" s="7"/>
      <c r="X955" s="6"/>
      <c r="Y955" s="6"/>
      <c r="Z955" s="6"/>
      <c r="AA955" s="6"/>
      <c r="AB955" s="6"/>
      <c r="AC955" s="6"/>
      <c r="AD955" s="6"/>
      <c r="AE955" s="6"/>
      <c r="AF955" s="6"/>
      <c r="AG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/>
      <c r="S956" s="6"/>
      <c r="T956" s="6"/>
      <c r="U956" s="6"/>
      <c r="V956" s="6"/>
      <c r="W956" s="7"/>
      <c r="X956" s="6"/>
      <c r="Y956" s="6"/>
      <c r="Z956" s="6"/>
      <c r="AA956" s="6"/>
      <c r="AB956" s="6"/>
      <c r="AC956" s="6"/>
      <c r="AD956" s="6"/>
      <c r="AE956" s="6"/>
      <c r="AF956" s="6"/>
      <c r="AG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/>
      <c r="S957" s="6"/>
      <c r="T957" s="6"/>
      <c r="U957" s="6"/>
      <c r="V957" s="6"/>
      <c r="W957" s="7"/>
      <c r="X957" s="6"/>
      <c r="Y957" s="6"/>
      <c r="Z957" s="6"/>
      <c r="AA957" s="6"/>
      <c r="AB957" s="6"/>
      <c r="AC957" s="6"/>
      <c r="AD957" s="6"/>
      <c r="AE957" s="6"/>
      <c r="AF957" s="6"/>
      <c r="AG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/>
      <c r="S958" s="6"/>
      <c r="T958" s="6"/>
      <c r="U958" s="6"/>
      <c r="V958" s="6"/>
      <c r="W958" s="7"/>
      <c r="X958" s="6"/>
      <c r="Y958" s="6"/>
      <c r="Z958" s="6"/>
      <c r="AA958" s="6"/>
      <c r="AB958" s="6"/>
      <c r="AC958" s="6"/>
      <c r="AD958" s="6"/>
      <c r="AE958" s="6"/>
      <c r="AF958" s="6"/>
      <c r="AG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/>
      <c r="S959" s="6"/>
      <c r="T959" s="6"/>
      <c r="U959" s="6"/>
      <c r="V959" s="6"/>
      <c r="W959" s="7"/>
      <c r="X959" s="6"/>
      <c r="Y959" s="6"/>
      <c r="Z959" s="6"/>
      <c r="AA959" s="6"/>
      <c r="AB959" s="6"/>
      <c r="AC959" s="6"/>
      <c r="AD959" s="6"/>
      <c r="AE959" s="6"/>
      <c r="AF959" s="6"/>
      <c r="AG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/>
      <c r="S960" s="6"/>
      <c r="T960" s="6"/>
      <c r="U960" s="6"/>
      <c r="V960" s="6"/>
      <c r="W960" s="7"/>
      <c r="X960" s="6"/>
      <c r="Y960" s="6"/>
      <c r="Z960" s="6"/>
      <c r="AA960" s="6"/>
      <c r="AB960" s="6"/>
      <c r="AC960" s="6"/>
      <c r="AD960" s="6"/>
      <c r="AE960" s="6"/>
      <c r="AF960" s="6"/>
      <c r="AG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/>
      <c r="S961" s="6"/>
      <c r="T961" s="6"/>
      <c r="U961" s="6"/>
      <c r="V961" s="6"/>
      <c r="W961" s="7"/>
      <c r="X961" s="6"/>
      <c r="Y961" s="6"/>
      <c r="Z961" s="6"/>
      <c r="AA961" s="6"/>
      <c r="AB961" s="6"/>
      <c r="AC961" s="6"/>
      <c r="AD961" s="6"/>
      <c r="AE961" s="6"/>
      <c r="AF961" s="6"/>
      <c r="AG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/>
      <c r="S962" s="6"/>
      <c r="T962" s="6"/>
      <c r="U962" s="6"/>
      <c r="V962" s="6"/>
      <c r="W962" s="7"/>
      <c r="X962" s="6"/>
      <c r="Y962" s="6"/>
      <c r="Z962" s="6"/>
      <c r="AA962" s="6"/>
      <c r="AB962" s="6"/>
      <c r="AC962" s="6"/>
      <c r="AD962" s="6"/>
      <c r="AE962" s="6"/>
      <c r="AF962" s="6"/>
      <c r="AG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/>
      <c r="S963" s="6"/>
      <c r="T963" s="6"/>
      <c r="U963" s="6"/>
      <c r="V963" s="6"/>
      <c r="W963" s="7"/>
      <c r="X963" s="6"/>
      <c r="Y963" s="6"/>
      <c r="Z963" s="6"/>
      <c r="AA963" s="6"/>
      <c r="AB963" s="6"/>
      <c r="AC963" s="6"/>
      <c r="AD963" s="6"/>
      <c r="AE963" s="6"/>
      <c r="AF963" s="6"/>
      <c r="AG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/>
      <c r="S964" s="6"/>
      <c r="T964" s="6"/>
      <c r="U964" s="6"/>
      <c r="V964" s="6"/>
      <c r="W964" s="7"/>
      <c r="X964" s="6"/>
      <c r="Y964" s="6"/>
      <c r="Z964" s="6"/>
      <c r="AA964" s="6"/>
      <c r="AB964" s="6"/>
      <c r="AC964" s="6"/>
      <c r="AD964" s="6"/>
      <c r="AE964" s="6"/>
      <c r="AF964" s="6"/>
      <c r="AG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/>
      <c r="S965" s="6"/>
      <c r="T965" s="6"/>
      <c r="U965" s="6"/>
      <c r="V965" s="6"/>
      <c r="W965" s="7"/>
      <c r="X965" s="6"/>
      <c r="Y965" s="6"/>
      <c r="Z965" s="6"/>
      <c r="AA965" s="6"/>
      <c r="AB965" s="6"/>
      <c r="AC965" s="6"/>
      <c r="AD965" s="6"/>
      <c r="AE965" s="6"/>
      <c r="AF965" s="6"/>
      <c r="AG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/>
      <c r="S966" s="6"/>
      <c r="T966" s="6"/>
      <c r="U966" s="6"/>
      <c r="V966" s="6"/>
      <c r="W966" s="7"/>
      <c r="X966" s="6"/>
      <c r="Y966" s="6"/>
      <c r="Z966" s="6"/>
      <c r="AA966" s="6"/>
      <c r="AB966" s="6"/>
      <c r="AC966" s="6"/>
      <c r="AD966" s="6"/>
      <c r="AE966" s="6"/>
      <c r="AF966" s="6"/>
      <c r="AG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/>
      <c r="S967" s="6"/>
      <c r="T967" s="6"/>
      <c r="U967" s="6"/>
      <c r="V967" s="6"/>
      <c r="W967" s="7"/>
      <c r="X967" s="6"/>
      <c r="Y967" s="6"/>
      <c r="Z967" s="6"/>
      <c r="AA967" s="6"/>
      <c r="AB967" s="6"/>
      <c r="AC967" s="6"/>
      <c r="AD967" s="6"/>
      <c r="AE967" s="6"/>
      <c r="AF967" s="6"/>
      <c r="AG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/>
      <c r="S968" s="6"/>
      <c r="T968" s="6"/>
      <c r="U968" s="6"/>
      <c r="V968" s="6"/>
      <c r="W968" s="7"/>
      <c r="X968" s="6"/>
      <c r="Y968" s="6"/>
      <c r="Z968" s="6"/>
      <c r="AA968" s="6"/>
      <c r="AB968" s="6"/>
      <c r="AC968" s="6"/>
      <c r="AD968" s="6"/>
      <c r="AE968" s="6"/>
      <c r="AF968" s="6"/>
      <c r="AG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/>
      <c r="S969" s="6"/>
      <c r="T969" s="6"/>
      <c r="U969" s="6"/>
      <c r="V969" s="6"/>
      <c r="W969" s="7"/>
      <c r="X969" s="6"/>
      <c r="Y969" s="6"/>
      <c r="Z969" s="6"/>
      <c r="AA969" s="6"/>
      <c r="AB969" s="6"/>
      <c r="AC969" s="6"/>
      <c r="AD969" s="6"/>
      <c r="AE969" s="6"/>
      <c r="AF969" s="6"/>
      <c r="AG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/>
      <c r="S970" s="6"/>
      <c r="T970" s="6"/>
      <c r="U970" s="6"/>
      <c r="V970" s="6"/>
      <c r="W970" s="7"/>
      <c r="X970" s="6"/>
      <c r="Y970" s="6"/>
      <c r="Z970" s="6"/>
      <c r="AA970" s="6"/>
      <c r="AB970" s="6"/>
      <c r="AC970" s="6"/>
      <c r="AD970" s="6"/>
      <c r="AE970" s="6"/>
      <c r="AF970" s="6"/>
      <c r="AG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/>
      <c r="S971" s="6"/>
      <c r="T971" s="6"/>
      <c r="U971" s="6"/>
      <c r="V971" s="6"/>
      <c r="W971" s="7"/>
      <c r="X971" s="6"/>
      <c r="Y971" s="6"/>
      <c r="Z971" s="6"/>
      <c r="AA971" s="6"/>
      <c r="AB971" s="6"/>
      <c r="AC971" s="6"/>
      <c r="AD971" s="6"/>
      <c r="AE971" s="6"/>
      <c r="AF971" s="6"/>
      <c r="AG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/>
      <c r="S972" s="6"/>
      <c r="T972" s="6"/>
      <c r="U972" s="6"/>
      <c r="V972" s="6"/>
      <c r="W972" s="7"/>
      <c r="X972" s="6"/>
      <c r="Y972" s="6"/>
      <c r="Z972" s="6"/>
      <c r="AA972" s="6"/>
      <c r="AB972" s="6"/>
      <c r="AC972" s="6"/>
      <c r="AD972" s="6"/>
      <c r="AE972" s="6"/>
      <c r="AF972" s="6"/>
      <c r="AG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/>
      <c r="S973" s="6"/>
      <c r="T973" s="6"/>
      <c r="U973" s="6"/>
      <c r="V973" s="6"/>
      <c r="W973" s="7"/>
      <c r="X973" s="6"/>
      <c r="Y973" s="6"/>
      <c r="Z973" s="6"/>
      <c r="AA973" s="6"/>
      <c r="AB973" s="6"/>
      <c r="AC973" s="6"/>
      <c r="AD973" s="6"/>
      <c r="AE973" s="6"/>
      <c r="AF973" s="6"/>
      <c r="AG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/>
      <c r="S974" s="6"/>
      <c r="T974" s="6"/>
      <c r="U974" s="6"/>
      <c r="V974" s="6"/>
      <c r="W974" s="7"/>
      <c r="X974" s="6"/>
      <c r="Y974" s="6"/>
      <c r="Z974" s="6"/>
      <c r="AA974" s="6"/>
      <c r="AB974" s="6"/>
      <c r="AC974" s="6"/>
      <c r="AD974" s="6"/>
      <c r="AE974" s="6"/>
      <c r="AF974" s="6"/>
      <c r="AG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/>
      <c r="S975" s="6"/>
      <c r="T975" s="6"/>
      <c r="U975" s="6"/>
      <c r="V975" s="6"/>
      <c r="W975" s="7"/>
      <c r="X975" s="6"/>
      <c r="Y975" s="6"/>
      <c r="Z975" s="6"/>
      <c r="AA975" s="6"/>
      <c r="AB975" s="6"/>
      <c r="AC975" s="6"/>
      <c r="AD975" s="6"/>
      <c r="AE975" s="6"/>
      <c r="AF975" s="6"/>
      <c r="AG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/>
      <c r="S976" s="6"/>
      <c r="T976" s="6"/>
      <c r="U976" s="6"/>
      <c r="V976" s="6"/>
      <c r="W976" s="7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/>
      <c r="S977" s="6"/>
      <c r="T977" s="6"/>
      <c r="U977" s="6"/>
      <c r="V977" s="6"/>
      <c r="W977" s="7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/>
      <c r="S978" s="6"/>
      <c r="T978" s="6"/>
      <c r="U978" s="6"/>
      <c r="V978" s="6"/>
      <c r="W978" s="7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/>
      <c r="S979" s="6"/>
      <c r="T979" s="6"/>
      <c r="U979" s="6"/>
      <c r="V979" s="6"/>
      <c r="W979" s="7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/>
      <c r="S980" s="6"/>
      <c r="T980" s="6"/>
      <c r="U980" s="6"/>
      <c r="V980" s="6"/>
      <c r="W980" s="7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/>
      <c r="S981" s="6"/>
      <c r="T981" s="6"/>
      <c r="U981" s="6"/>
      <c r="V981" s="6"/>
      <c r="W981" s="7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/>
      <c r="S982" s="6"/>
      <c r="T982" s="6"/>
      <c r="U982" s="6"/>
      <c r="V982" s="6"/>
      <c r="W982" s="7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/>
      <c r="S983" s="6"/>
      <c r="T983" s="6"/>
      <c r="U983" s="6"/>
      <c r="V983" s="6"/>
      <c r="W983" s="7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/>
      <c r="S984" s="6"/>
      <c r="T984" s="6"/>
      <c r="U984" s="6"/>
      <c r="V984" s="6"/>
      <c r="W984" s="7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/>
      <c r="S985" s="6"/>
      <c r="T985" s="6"/>
      <c r="U985" s="6"/>
      <c r="V985" s="6"/>
      <c r="W985" s="7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/>
      <c r="S986" s="6"/>
      <c r="T986" s="6"/>
      <c r="U986" s="6"/>
      <c r="V986" s="6"/>
      <c r="W986" s="7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/>
      <c r="S987" s="6"/>
      <c r="T987" s="6"/>
      <c r="U987" s="6"/>
      <c r="V987" s="6"/>
      <c r="W987" s="7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/>
      <c r="S988" s="6"/>
      <c r="T988" s="6"/>
      <c r="U988" s="6"/>
      <c r="V988" s="6"/>
      <c r="W988" s="7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/>
      <c r="S989" s="6"/>
      <c r="T989" s="6"/>
      <c r="U989" s="6"/>
      <c r="V989" s="6"/>
      <c r="W989" s="7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/>
      <c r="S990" s="6"/>
      <c r="T990" s="6"/>
      <c r="U990" s="6"/>
      <c r="V990" s="6"/>
      <c r="W990" s="7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/>
      <c r="S991" s="6"/>
      <c r="T991" s="6"/>
      <c r="U991" s="6"/>
      <c r="V991" s="6"/>
      <c r="W991" s="7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/>
      <c r="S992" s="6"/>
      <c r="T992" s="6"/>
      <c r="U992" s="6"/>
      <c r="V992" s="6"/>
      <c r="W992" s="7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/>
      <c r="S993" s="6"/>
      <c r="T993" s="6"/>
      <c r="U993" s="6"/>
      <c r="V993" s="6"/>
      <c r="W993" s="7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/>
      <c r="S994" s="6"/>
      <c r="T994" s="6"/>
      <c r="U994" s="6"/>
      <c r="V994" s="6"/>
      <c r="W994" s="7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/>
      <c r="S995" s="6"/>
      <c r="T995" s="6"/>
      <c r="U995" s="6"/>
      <c r="V995" s="6"/>
      <c r="W995" s="7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/>
      <c r="S996" s="6"/>
      <c r="T996" s="6"/>
      <c r="U996" s="6"/>
      <c r="V996" s="6"/>
      <c r="W996" s="7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/>
      <c r="S997" s="6"/>
      <c r="T997" s="6"/>
      <c r="U997" s="6"/>
      <c r="V997" s="6"/>
      <c r="W997" s="7"/>
      <c r="X997" s="6"/>
      <c r="Y997" s="6"/>
      <c r="Z997" s="6"/>
      <c r="AA997" s="6"/>
      <c r="AB997" s="6"/>
      <c r="AC997" s="6"/>
      <c r="AD997" s="6"/>
      <c r="AE997" s="6"/>
      <c r="AF997" s="6"/>
      <c r="AG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/>
      <c r="S998" s="6"/>
      <c r="T998" s="6"/>
      <c r="U998" s="6"/>
      <c r="V998" s="6"/>
      <c r="W998" s="7"/>
      <c r="X998" s="6"/>
      <c r="Y998" s="6"/>
      <c r="Z998" s="6"/>
      <c r="AA998" s="6"/>
      <c r="AB998" s="6"/>
      <c r="AC998" s="6"/>
      <c r="AD998" s="6"/>
      <c r="AE998" s="6"/>
      <c r="AF998" s="6"/>
      <c r="AG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/>
      <c r="S999" s="6"/>
      <c r="T999" s="6"/>
      <c r="U999" s="6"/>
      <c r="V999" s="6"/>
      <c r="W999" s="7"/>
      <c r="X999" s="6"/>
      <c r="Y999" s="6"/>
      <c r="Z999" s="6"/>
      <c r="AA999" s="6"/>
      <c r="AB999" s="6"/>
      <c r="AC999" s="6"/>
      <c r="AD999" s="6"/>
      <c r="AE999" s="6"/>
      <c r="AF999" s="6"/>
      <c r="AG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/>
      <c r="S1000" s="6"/>
      <c r="T1000" s="6"/>
      <c r="U1000" s="6"/>
      <c r="V1000" s="6"/>
      <c r="W1000" s="7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</row>
  </sheetData>
  <mergeCells count="3">
    <mergeCell ref="B1:E1"/>
    <mergeCell ref="F1:G2"/>
    <mergeCell ref="E19:F19"/>
  </mergeCells>
  <dataValidations>
    <dataValidation type="list" allowBlank="1" sqref="R9:R12 W9:W12">
      <formula1>"Alex,Oliver,Jeremy,Split,Gift,TBD,N/A"</formula1>
    </dataValidation>
  </dataValidations>
  <printOptions/>
  <pageMargins bottom="0.75" footer="0.0" header="0.0" left="0.7" right="0.7" top="0.75"/>
  <pageSetup orientation="landscape"/>
  <drawing r:id="rId1"/>
</worksheet>
</file>